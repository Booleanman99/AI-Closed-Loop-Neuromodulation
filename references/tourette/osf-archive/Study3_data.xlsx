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baramorera/Desktop/"/>
    </mc:Choice>
  </mc:AlternateContent>
  <xr:revisionPtr revIDLastSave="0" documentId="8_{C824569D-19F8-BF49-A1BC-3C4161488BD1}" xr6:coauthVersionLast="45" xr6:coauthVersionMax="45" xr10:uidLastSave="{00000000-0000-0000-0000-000000000000}"/>
  <bookViews>
    <workbookView xWindow="0" yWindow="460" windowWidth="25600" windowHeight="14640" xr2:uid="{A014D5DA-04FD-2644-B188-B92661388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4" i="1" l="1"/>
  <c r="L18" i="1"/>
  <c r="U20" i="1" l="1"/>
  <c r="T20" i="1"/>
  <c r="U19" i="1"/>
  <c r="T19" i="1"/>
  <c r="U18" i="1"/>
  <c r="T18" i="1"/>
  <c r="Q20" i="1"/>
  <c r="P20" i="1"/>
  <c r="Q19" i="1"/>
  <c r="P19" i="1"/>
  <c r="Q18" i="1"/>
  <c r="P18" i="1"/>
  <c r="M20" i="1"/>
  <c r="L20" i="1"/>
  <c r="M19" i="1"/>
  <c r="L19" i="1"/>
  <c r="M18" i="1" l="1"/>
</calcChain>
</file>

<file path=xl/sharedStrings.xml><?xml version="1.0" encoding="utf-8"?>
<sst xmlns="http://schemas.openxmlformats.org/spreadsheetml/2006/main" count="103" uniqueCount="37">
  <si>
    <t>TICS</t>
  </si>
  <si>
    <t>Rhythmic</t>
  </si>
  <si>
    <t>No Stimulation</t>
  </si>
  <si>
    <t>INTENSITY</t>
  </si>
  <si>
    <t>TS062</t>
  </si>
  <si>
    <t>TS196</t>
  </si>
  <si>
    <t>TS061</t>
  </si>
  <si>
    <t>TS204</t>
  </si>
  <si>
    <t>TS198</t>
  </si>
  <si>
    <t>TS205</t>
  </si>
  <si>
    <t>TS203</t>
  </si>
  <si>
    <t>TS207</t>
  </si>
  <si>
    <t>TS209</t>
  </si>
  <si>
    <t>TS213</t>
  </si>
  <si>
    <t>TS184</t>
  </si>
  <si>
    <t>TS212</t>
  </si>
  <si>
    <t>TS230</t>
  </si>
  <si>
    <t>TS231</t>
  </si>
  <si>
    <t>TS233</t>
  </si>
  <si>
    <t>AVERAGE</t>
  </si>
  <si>
    <t>SLIDER</t>
  </si>
  <si>
    <t>TS234</t>
  </si>
  <si>
    <t>SD</t>
  </si>
  <si>
    <t>median</t>
  </si>
  <si>
    <t>NaN</t>
  </si>
  <si>
    <t>Age</t>
  </si>
  <si>
    <t>Sex</t>
  </si>
  <si>
    <t>WASI</t>
  </si>
  <si>
    <t>PUTS</t>
  </si>
  <si>
    <t>Impairment</t>
  </si>
  <si>
    <t>Motor</t>
  </si>
  <si>
    <t>Vocal</t>
  </si>
  <si>
    <t>Global</t>
  </si>
  <si>
    <t>1 = male</t>
  </si>
  <si>
    <t>IQ</t>
  </si>
  <si>
    <t>PU</t>
  </si>
  <si>
    <t>YGTSS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</si>
</sst>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 (Body)_x0000_"/>
    </font>
    <font>
      <sz val="12"/>
      <color rgb="FF000000"/>
      <name val="Calibri (Body)_x0000_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0" fillId="0" borderId="0" xfId="0" applyFill="1"/>
    <xf numFmtId="0" fontId="2" fillId="0" borderId="0" xfId="0" applyFont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C651-4B70-B245-9DB8-CDF7D4A6381C}">
  <dimension ref="A1:U26"/>
  <sheetViews>
    <sheetView tabSelected="1" workbookViewId="0">
      <selection activeCell="K26" sqref="K26"/>
    </sheetView>
  </sheetViews>
  <sheetFormatPr baseColWidth="10" defaultRowHeight="16"/>
  <cols>
    <col min="20" max="21" width="11" bestFit="1" customWidth="1"/>
  </cols>
  <sheetData>
    <row r="1" spans="1:21"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/>
      <c r="K1" s="1" t="s">
        <v>0</v>
      </c>
      <c r="L1" t="s">
        <v>1</v>
      </c>
      <c r="M1" t="s">
        <v>2</v>
      </c>
      <c r="O1" s="1" t="s">
        <v>3</v>
      </c>
      <c r="P1" t="s">
        <v>1</v>
      </c>
      <c r="Q1" t="s">
        <v>2</v>
      </c>
      <c r="S1" s="1" t="s">
        <v>20</v>
      </c>
      <c r="T1" t="s">
        <v>1</v>
      </c>
      <c r="U1" t="s">
        <v>2</v>
      </c>
    </row>
    <row r="2" spans="1:21">
      <c r="A2" t="s">
        <v>4</v>
      </c>
      <c r="B2" s="11">
        <v>22.82</v>
      </c>
      <c r="C2" s="11">
        <v>1</v>
      </c>
      <c r="D2" s="8">
        <v>131</v>
      </c>
      <c r="E2" s="8">
        <v>14</v>
      </c>
      <c r="F2" s="9">
        <v>17</v>
      </c>
      <c r="G2" s="9">
        <v>18</v>
      </c>
      <c r="H2" s="9">
        <v>20</v>
      </c>
      <c r="I2" s="8">
        <v>55</v>
      </c>
      <c r="J2" s="8"/>
      <c r="K2" t="s">
        <v>4</v>
      </c>
      <c r="L2">
        <v>60</v>
      </c>
      <c r="M2">
        <v>63</v>
      </c>
      <c r="O2" t="s">
        <v>4</v>
      </c>
      <c r="P2" s="4">
        <v>2.9930555554999998</v>
      </c>
      <c r="Q2" s="4">
        <v>2.9204520696666698</v>
      </c>
      <c r="S2" t="s">
        <v>4</v>
      </c>
      <c r="T2" s="4">
        <v>5.3637071155709499</v>
      </c>
      <c r="U2" s="4">
        <v>5.3591894168905796</v>
      </c>
    </row>
    <row r="3" spans="1:21">
      <c r="A3" t="s">
        <v>14</v>
      </c>
      <c r="B3" s="11">
        <v>20.25</v>
      </c>
      <c r="C3" s="11">
        <v>1</v>
      </c>
      <c r="D3" s="8">
        <v>82</v>
      </c>
      <c r="E3" s="8">
        <v>29</v>
      </c>
      <c r="F3" s="9">
        <v>50</v>
      </c>
      <c r="G3" s="9">
        <v>25</v>
      </c>
      <c r="H3" s="9">
        <v>25</v>
      </c>
      <c r="I3" s="8">
        <v>100</v>
      </c>
      <c r="J3" s="8"/>
      <c r="K3" t="s">
        <v>14</v>
      </c>
      <c r="L3">
        <v>54</v>
      </c>
      <c r="M3">
        <v>331</v>
      </c>
      <c r="O3" t="s">
        <v>14</v>
      </c>
      <c r="P3" s="4">
        <v>2.9076388889999998</v>
      </c>
      <c r="Q3" s="4">
        <v>3.3585298211666701</v>
      </c>
      <c r="S3" t="s">
        <v>14</v>
      </c>
      <c r="T3" s="4">
        <v>9.27817841133405</v>
      </c>
      <c r="U3" s="4">
        <v>95.851122670429504</v>
      </c>
    </row>
    <row r="4" spans="1:21">
      <c r="A4" t="s">
        <v>5</v>
      </c>
      <c r="B4" s="11">
        <v>37.299999999999997</v>
      </c>
      <c r="C4" s="11">
        <v>-1</v>
      </c>
      <c r="D4" s="8">
        <v>120</v>
      </c>
      <c r="E4" s="8">
        <v>22</v>
      </c>
      <c r="F4" s="9">
        <v>25</v>
      </c>
      <c r="G4" s="9">
        <v>25</v>
      </c>
      <c r="H4" s="9">
        <v>25</v>
      </c>
      <c r="I4" s="8">
        <v>75</v>
      </c>
      <c r="J4" s="8"/>
      <c r="K4" t="s">
        <v>5</v>
      </c>
      <c r="L4">
        <v>38</v>
      </c>
      <c r="M4">
        <v>100</v>
      </c>
      <c r="O4" t="s">
        <v>5</v>
      </c>
      <c r="P4" s="4">
        <v>1.7647058823333299</v>
      </c>
      <c r="Q4" s="4">
        <v>2.6316964285000002</v>
      </c>
      <c r="S4" t="s">
        <v>5</v>
      </c>
      <c r="T4" s="4">
        <v>15.9897185752179</v>
      </c>
      <c r="U4" s="4">
        <v>22.292870803517499</v>
      </c>
    </row>
    <row r="5" spans="1:21">
      <c r="A5" t="s">
        <v>6</v>
      </c>
      <c r="B5" s="11">
        <v>15</v>
      </c>
      <c r="C5" s="11">
        <v>1</v>
      </c>
      <c r="D5" s="8">
        <v>99</v>
      </c>
      <c r="E5" s="8">
        <v>29</v>
      </c>
      <c r="F5" s="9">
        <v>0</v>
      </c>
      <c r="G5" s="9">
        <v>18</v>
      </c>
      <c r="H5" s="9">
        <v>16</v>
      </c>
      <c r="I5" s="8">
        <v>34</v>
      </c>
      <c r="J5" s="8"/>
      <c r="K5" t="s">
        <v>6</v>
      </c>
      <c r="L5">
        <v>31</v>
      </c>
      <c r="M5">
        <v>67</v>
      </c>
      <c r="O5" t="s">
        <v>6</v>
      </c>
      <c r="P5" s="4">
        <v>2.7583333333333302</v>
      </c>
      <c r="Q5" s="4">
        <v>3.3219373220000001</v>
      </c>
      <c r="S5" t="s">
        <v>6</v>
      </c>
      <c r="T5" s="4">
        <v>13.0797002402398</v>
      </c>
      <c r="U5" s="4">
        <v>62.251288400641499</v>
      </c>
    </row>
    <row r="6" spans="1:21">
      <c r="A6" t="s">
        <v>7</v>
      </c>
      <c r="B6" s="11">
        <v>32.950000000000003</v>
      </c>
      <c r="C6" s="11">
        <v>1</v>
      </c>
      <c r="D6" s="8">
        <v>130</v>
      </c>
      <c r="E6" s="8">
        <v>11</v>
      </c>
      <c r="F6" s="9">
        <v>5</v>
      </c>
      <c r="G6" s="9">
        <v>17</v>
      </c>
      <c r="H6" s="9">
        <v>10</v>
      </c>
      <c r="I6" s="8">
        <v>32</v>
      </c>
      <c r="J6" s="8"/>
      <c r="K6" t="s">
        <v>7</v>
      </c>
      <c r="L6">
        <v>75</v>
      </c>
      <c r="M6">
        <v>130</v>
      </c>
      <c r="O6" t="s">
        <v>7</v>
      </c>
      <c r="P6" s="4">
        <v>3.0019869020000001</v>
      </c>
      <c r="Q6" s="4">
        <v>3.0660625681666702</v>
      </c>
      <c r="S6" t="s">
        <v>7</v>
      </c>
      <c r="T6" s="4">
        <v>11.403426768897001</v>
      </c>
      <c r="U6" s="4">
        <v>21.766509555608099</v>
      </c>
    </row>
    <row r="7" spans="1:21">
      <c r="A7" t="s">
        <v>9</v>
      </c>
      <c r="B7" s="11">
        <v>17.46</v>
      </c>
      <c r="C7" s="11">
        <v>1</v>
      </c>
      <c r="D7" s="8">
        <v>96</v>
      </c>
      <c r="E7" s="8">
        <v>24</v>
      </c>
      <c r="F7" s="9">
        <v>0</v>
      </c>
      <c r="G7" s="9">
        <v>21</v>
      </c>
      <c r="H7" s="9">
        <v>0</v>
      </c>
      <c r="I7" s="8">
        <v>21</v>
      </c>
      <c r="J7" s="8"/>
      <c r="K7" t="s">
        <v>9</v>
      </c>
      <c r="L7">
        <v>118</v>
      </c>
      <c r="M7">
        <v>185</v>
      </c>
      <c r="O7" t="s">
        <v>9</v>
      </c>
      <c r="P7" s="4">
        <v>3.5420104370000001</v>
      </c>
      <c r="Q7" s="4">
        <v>3.4412527448333301</v>
      </c>
      <c r="S7" t="s">
        <v>9</v>
      </c>
      <c r="T7" s="4">
        <v>21.8305113274183</v>
      </c>
      <c r="U7" s="4">
        <v>0</v>
      </c>
    </row>
    <row r="8" spans="1:21">
      <c r="A8" t="s">
        <v>10</v>
      </c>
      <c r="B8" s="11">
        <v>16.88</v>
      </c>
      <c r="C8" s="11">
        <v>1</v>
      </c>
      <c r="D8" s="8">
        <v>95</v>
      </c>
      <c r="E8" s="8">
        <v>15</v>
      </c>
      <c r="F8" s="9">
        <v>25</v>
      </c>
      <c r="G8" s="9">
        <v>25</v>
      </c>
      <c r="H8" s="9">
        <v>25</v>
      </c>
      <c r="I8" s="8">
        <v>75</v>
      </c>
      <c r="J8" s="8"/>
      <c r="K8" t="s">
        <v>10</v>
      </c>
      <c r="L8">
        <v>113</v>
      </c>
      <c r="M8">
        <v>62</v>
      </c>
      <c r="O8" t="s">
        <v>10</v>
      </c>
      <c r="P8" s="4">
        <v>3.1968825079999998</v>
      </c>
      <c r="Q8" s="4">
        <v>3.6388888888333302</v>
      </c>
      <c r="S8" t="s">
        <v>10</v>
      </c>
      <c r="T8" s="4" t="s">
        <v>24</v>
      </c>
      <c r="U8" s="4" t="s">
        <v>24</v>
      </c>
    </row>
    <row r="9" spans="1:21">
      <c r="A9" t="s">
        <v>11</v>
      </c>
      <c r="B9" s="11">
        <v>14.7</v>
      </c>
      <c r="C9" s="11">
        <v>1</v>
      </c>
      <c r="D9" s="8">
        <v>97</v>
      </c>
      <c r="E9" s="8">
        <v>13</v>
      </c>
      <c r="F9" s="9">
        <v>15</v>
      </c>
      <c r="G9" s="9">
        <v>14</v>
      </c>
      <c r="H9" s="9">
        <v>12</v>
      </c>
      <c r="I9" s="8">
        <v>41</v>
      </c>
      <c r="J9" s="8"/>
      <c r="K9" t="s">
        <v>11</v>
      </c>
      <c r="L9">
        <v>71</v>
      </c>
      <c r="M9">
        <v>31</v>
      </c>
      <c r="O9" t="s">
        <v>11</v>
      </c>
      <c r="P9" s="4">
        <v>2.5748106059999998</v>
      </c>
      <c r="Q9" s="4">
        <v>2.3263888887499999</v>
      </c>
      <c r="S9" t="s">
        <v>11</v>
      </c>
      <c r="T9" s="4">
        <v>52.166405003392903</v>
      </c>
      <c r="U9" s="4">
        <v>32.466840062870197</v>
      </c>
    </row>
    <row r="10" spans="1:21">
      <c r="A10" t="s">
        <v>12</v>
      </c>
      <c r="B10" s="11">
        <v>19.66</v>
      </c>
      <c r="C10" s="11">
        <v>-1</v>
      </c>
      <c r="D10" s="8">
        <v>111</v>
      </c>
      <c r="E10" s="8">
        <v>30</v>
      </c>
      <c r="F10" s="9">
        <v>25</v>
      </c>
      <c r="G10" s="9">
        <v>19</v>
      </c>
      <c r="H10" s="9">
        <v>12</v>
      </c>
      <c r="I10" s="8">
        <v>56</v>
      </c>
      <c r="J10" s="8"/>
      <c r="K10" t="s">
        <v>12</v>
      </c>
      <c r="L10">
        <v>108</v>
      </c>
      <c r="M10">
        <v>235</v>
      </c>
      <c r="O10" t="s">
        <v>12</v>
      </c>
      <c r="P10" s="4">
        <v>2.4405242903333302</v>
      </c>
      <c r="Q10" s="4">
        <v>2.9241129240000001</v>
      </c>
      <c r="S10" t="s">
        <v>12</v>
      </c>
      <c r="T10" s="4">
        <v>31.210860527361898</v>
      </c>
      <c r="U10" s="4">
        <v>77.275215157543499</v>
      </c>
    </row>
    <row r="11" spans="1:21">
      <c r="A11" t="s">
        <v>8</v>
      </c>
      <c r="B11" s="11">
        <v>25.13</v>
      </c>
      <c r="C11" s="11">
        <v>-1</v>
      </c>
      <c r="D11" s="8">
        <v>84</v>
      </c>
      <c r="E11" s="8">
        <v>28</v>
      </c>
      <c r="F11" s="9">
        <v>50</v>
      </c>
      <c r="G11" s="9">
        <v>22</v>
      </c>
      <c r="H11" s="9">
        <v>22</v>
      </c>
      <c r="I11" s="8">
        <v>94</v>
      </c>
      <c r="J11" s="8"/>
      <c r="K11" t="s">
        <v>8</v>
      </c>
      <c r="L11">
        <v>17</v>
      </c>
      <c r="M11">
        <v>36</v>
      </c>
      <c r="O11" t="s">
        <v>8</v>
      </c>
      <c r="P11" s="4">
        <v>2.52</v>
      </c>
      <c r="Q11" s="4">
        <v>3.5646825398000002</v>
      </c>
      <c r="S11" t="s">
        <v>8</v>
      </c>
      <c r="T11" s="4">
        <v>35.804182161436898</v>
      </c>
      <c r="U11" s="4">
        <v>57.959171648811498</v>
      </c>
    </row>
    <row r="12" spans="1:21">
      <c r="A12" t="s">
        <v>15</v>
      </c>
      <c r="B12" s="11">
        <v>15.44</v>
      </c>
      <c r="C12" s="11">
        <v>-1</v>
      </c>
      <c r="D12" s="8">
        <v>110</v>
      </c>
      <c r="E12" s="8">
        <v>29</v>
      </c>
      <c r="F12" s="9">
        <v>49</v>
      </c>
      <c r="G12" s="9">
        <v>19</v>
      </c>
      <c r="H12" s="9">
        <v>13</v>
      </c>
      <c r="I12" s="8">
        <v>81</v>
      </c>
      <c r="J12" s="8"/>
      <c r="K12" t="s">
        <v>15</v>
      </c>
      <c r="L12">
        <v>276</v>
      </c>
      <c r="M12">
        <v>279</v>
      </c>
      <c r="O12" t="s">
        <v>15</v>
      </c>
      <c r="P12" s="4">
        <v>2.9928787878333298</v>
      </c>
      <c r="Q12" s="4">
        <v>2.8034527601666701</v>
      </c>
      <c r="S12" t="s">
        <v>15</v>
      </c>
      <c r="T12" s="4" t="s">
        <v>24</v>
      </c>
      <c r="U12" s="4" t="s">
        <v>24</v>
      </c>
    </row>
    <row r="13" spans="1:21">
      <c r="A13" t="s">
        <v>13</v>
      </c>
      <c r="B13" s="11">
        <v>21.39</v>
      </c>
      <c r="C13" s="11">
        <v>-1</v>
      </c>
      <c r="D13" s="8">
        <v>109</v>
      </c>
      <c r="E13" s="8">
        <v>22</v>
      </c>
      <c r="F13" s="9">
        <v>45</v>
      </c>
      <c r="G13" s="9">
        <v>22</v>
      </c>
      <c r="H13" s="9">
        <v>16</v>
      </c>
      <c r="I13" s="8">
        <v>83</v>
      </c>
      <c r="J13" s="8"/>
      <c r="K13" t="s">
        <v>13</v>
      </c>
      <c r="L13">
        <v>104</v>
      </c>
      <c r="M13">
        <v>132</v>
      </c>
      <c r="O13" t="s">
        <v>13</v>
      </c>
      <c r="P13" s="4">
        <v>3.8375942685000002</v>
      </c>
      <c r="Q13" s="4">
        <v>3.9332826691666698</v>
      </c>
      <c r="S13" t="s">
        <v>13</v>
      </c>
      <c r="T13" s="4">
        <v>43.376387846479503</v>
      </c>
      <c r="U13" s="4">
        <v>90.306516928153897</v>
      </c>
    </row>
    <row r="14" spans="1:21">
      <c r="A14" t="s">
        <v>16</v>
      </c>
      <c r="B14" s="11">
        <v>20.16</v>
      </c>
      <c r="C14" s="11">
        <v>-1</v>
      </c>
      <c r="D14" s="8">
        <v>108</v>
      </c>
      <c r="E14" s="8">
        <v>18</v>
      </c>
      <c r="F14" s="8">
        <v>40</v>
      </c>
      <c r="G14" s="8">
        <v>22</v>
      </c>
      <c r="H14" s="8">
        <v>13</v>
      </c>
      <c r="I14" s="8">
        <v>75</v>
      </c>
      <c r="J14" s="8"/>
      <c r="K14" t="s">
        <v>16</v>
      </c>
      <c r="L14">
        <v>37</v>
      </c>
      <c r="M14">
        <v>25</v>
      </c>
      <c r="O14" t="s">
        <v>16</v>
      </c>
      <c r="P14" s="4">
        <v>2.5449735449999999</v>
      </c>
      <c r="Q14" s="4">
        <v>2.3604497355</v>
      </c>
      <c r="S14" t="s">
        <v>16</v>
      </c>
      <c r="T14" s="4">
        <v>72.529152868310106</v>
      </c>
      <c r="U14" s="4">
        <v>27.249782327822501</v>
      </c>
    </row>
    <row r="15" spans="1:21">
      <c r="A15" t="s">
        <v>17</v>
      </c>
      <c r="B15" s="11">
        <v>19.36</v>
      </c>
      <c r="C15" s="11">
        <v>-1</v>
      </c>
      <c r="D15" s="8">
        <v>84</v>
      </c>
      <c r="E15" s="8">
        <v>6</v>
      </c>
      <c r="F15" s="8">
        <v>50</v>
      </c>
      <c r="G15" s="8">
        <v>22</v>
      </c>
      <c r="H15" s="8">
        <v>14</v>
      </c>
      <c r="I15" s="8">
        <v>86</v>
      </c>
      <c r="J15" s="8"/>
      <c r="K15" t="s">
        <v>17</v>
      </c>
      <c r="L15">
        <v>16</v>
      </c>
      <c r="M15">
        <v>36</v>
      </c>
      <c r="O15" t="s">
        <v>17</v>
      </c>
      <c r="P15" s="4">
        <v>2.9444444445000002</v>
      </c>
      <c r="Q15" s="4">
        <v>2.9583333332500001</v>
      </c>
      <c r="S15" t="s">
        <v>17</v>
      </c>
      <c r="T15" s="4" t="s">
        <v>24</v>
      </c>
      <c r="U15" s="4" t="s">
        <v>24</v>
      </c>
    </row>
    <row r="16" spans="1:21">
      <c r="A16" t="s">
        <v>18</v>
      </c>
      <c r="B16" s="11">
        <v>13.57</v>
      </c>
      <c r="C16" s="11">
        <v>1</v>
      </c>
      <c r="D16" s="8">
        <v>81</v>
      </c>
      <c r="E16" s="8">
        <v>13</v>
      </c>
      <c r="F16" s="8">
        <v>35</v>
      </c>
      <c r="G16" s="8">
        <v>22</v>
      </c>
      <c r="H16" s="8">
        <v>21</v>
      </c>
      <c r="I16" s="8">
        <v>78</v>
      </c>
      <c r="J16" s="8"/>
      <c r="K16" t="s">
        <v>18</v>
      </c>
      <c r="L16">
        <v>64</v>
      </c>
      <c r="M16">
        <v>110</v>
      </c>
      <c r="O16" t="s">
        <v>18</v>
      </c>
      <c r="P16" s="4">
        <v>2.52708333333333</v>
      </c>
      <c r="Q16" s="4">
        <v>2.3482142856666699</v>
      </c>
      <c r="S16" t="s">
        <v>18</v>
      </c>
      <c r="T16" s="4">
        <v>51.876155077932097</v>
      </c>
      <c r="U16" s="4">
        <v>50.113601173952802</v>
      </c>
    </row>
    <row r="17" spans="1:21" ht="17" thickBot="1">
      <c r="A17" s="2" t="s">
        <v>21</v>
      </c>
      <c r="B17" s="12">
        <v>51.39</v>
      </c>
      <c r="C17" s="11">
        <v>1</v>
      </c>
      <c r="D17" s="10">
        <v>90</v>
      </c>
      <c r="E17" s="10">
        <v>25</v>
      </c>
      <c r="F17" s="10">
        <v>35</v>
      </c>
      <c r="G17" s="10">
        <v>18</v>
      </c>
      <c r="H17" s="10">
        <v>18</v>
      </c>
      <c r="I17" s="10">
        <v>71</v>
      </c>
      <c r="J17" s="13"/>
      <c r="K17" s="2" t="s">
        <v>21</v>
      </c>
      <c r="L17">
        <v>220</v>
      </c>
      <c r="M17">
        <v>198</v>
      </c>
      <c r="O17" s="2" t="s">
        <v>21</v>
      </c>
      <c r="P17" s="4">
        <v>1.6732457295000001</v>
      </c>
      <c r="Q17" s="4">
        <v>1.8776910681666701</v>
      </c>
      <c r="S17" s="2" t="s">
        <v>21</v>
      </c>
      <c r="T17" s="4">
        <v>14.4005025754646</v>
      </c>
      <c r="U17" s="4">
        <v>16.8818022855321</v>
      </c>
    </row>
    <row r="18" spans="1:21">
      <c r="K18" s="5" t="s">
        <v>19</v>
      </c>
      <c r="L18" s="6">
        <f>AVERAGE(L2:L17)</f>
        <v>87.625</v>
      </c>
      <c r="M18" s="6">
        <f>AVERAGE(M2:M17)</f>
        <v>126.25</v>
      </c>
      <c r="O18" s="5" t="s">
        <v>19</v>
      </c>
      <c r="P18" s="7">
        <f>AVERAGE(P2:P17)</f>
        <v>2.7637605320104157</v>
      </c>
      <c r="Q18" s="7">
        <f>AVERAGE(Q2:Q17)</f>
        <v>2.9672142529770844</v>
      </c>
      <c r="S18" s="5" t="s">
        <v>19</v>
      </c>
      <c r="T18" s="7">
        <f>AVERAGE(T2:T17)</f>
        <v>29.100683730696613</v>
      </c>
      <c r="U18" s="7">
        <f>AVERAGE(U2:U17)</f>
        <v>43.059531571674903</v>
      </c>
    </row>
    <row r="19" spans="1:21">
      <c r="K19" s="5" t="s">
        <v>22</v>
      </c>
      <c r="L19" s="7">
        <f>STDEV(L2:L17)</f>
        <v>71.412300527756884</v>
      </c>
      <c r="M19" s="7">
        <f>STDEV(M2:M17)</f>
        <v>94.493386011932074</v>
      </c>
      <c r="O19" s="5" t="s">
        <v>22</v>
      </c>
      <c r="P19" s="7">
        <f>STDEV(P2:P17)</f>
        <v>0.55692047678837253</v>
      </c>
      <c r="Q19" s="7">
        <f>STDEV(Q2:Q17)</f>
        <v>0.56257731656963073</v>
      </c>
      <c r="S19" s="5" t="s">
        <v>22</v>
      </c>
      <c r="T19" s="7">
        <f>STDEV(T2:T17)</f>
        <v>20.730524438404533</v>
      </c>
      <c r="U19" s="7">
        <f>STDEV(U2:U17)</f>
        <v>31.67219898264484</v>
      </c>
    </row>
    <row r="20" spans="1:21">
      <c r="K20" s="5" t="s">
        <v>23</v>
      </c>
      <c r="L20" s="5">
        <f>MEDIAN(L2:L17)</f>
        <v>67.5</v>
      </c>
      <c r="M20" s="5">
        <f>MEDIAN(M2:M17)</f>
        <v>105</v>
      </c>
      <c r="O20" s="5" t="s">
        <v>23</v>
      </c>
      <c r="P20" s="7">
        <f>MEDIAN(P2:P17)</f>
        <v>2.8329861111666652</v>
      </c>
      <c r="Q20" s="7">
        <f t="shared" ref="Q20" si="0">MEDIAN(Q2:Q17)</f>
        <v>2.9412231286250003</v>
      </c>
      <c r="S20" s="5" t="s">
        <v>23</v>
      </c>
      <c r="T20" s="7">
        <f>MEDIAN(T2:T17)</f>
        <v>21.8305113274183</v>
      </c>
      <c r="U20" s="7">
        <f>MEDIAN(U2:U17)</f>
        <v>32.466840062870197</v>
      </c>
    </row>
    <row r="21" spans="1:21">
      <c r="K21" s="2"/>
    </row>
    <row r="23" spans="1:21">
      <c r="C23" t="s">
        <v>33</v>
      </c>
      <c r="D23" t="s">
        <v>34</v>
      </c>
      <c r="E23" t="s">
        <v>35</v>
      </c>
      <c r="F23" t="s">
        <v>36</v>
      </c>
      <c r="G23" t="s">
        <v>36</v>
      </c>
      <c r="H23" t="s">
        <v>36</v>
      </c>
      <c r="I23" t="s">
        <v>36</v>
      </c>
    </row>
    <row r="24" spans="1:21">
      <c r="C24" t="e">
        <f>-1 = female</f>
        <v>#NAME?</v>
      </c>
    </row>
    <row r="26" spans="1:21">
      <c r="R26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2020-01-23T12:06:43Z</dcterms:created>
  <dcterms:modified xsi:type="dcterms:W3CDTF">2020-04-17T07:50:47Z</dcterms:modified>
</cp:coreProperties>
</file>