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baramorera/Desktop/Data_sharing/CRT/"/>
    </mc:Choice>
  </mc:AlternateContent>
  <xr:revisionPtr revIDLastSave="0" documentId="13_ncr:1_{D2DEC62A-2955-9D40-9490-233CD623E55E}" xr6:coauthVersionLast="45" xr6:coauthVersionMax="45" xr10:uidLastSave="{00000000-0000-0000-0000-000000000000}"/>
  <bookViews>
    <workbookView xWindow="0" yWindow="460" windowWidth="25600" windowHeight="14640" activeTab="1" xr2:uid="{5F4D724D-9629-4C2F-8B5A-17CB400D2B3F}"/>
  </bookViews>
  <sheets>
    <sheet name="Randomised_MNS" sheetId="1" r:id="rId1"/>
    <sheet name="Blocked_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3" i="2" l="1"/>
  <c r="F23" i="2"/>
  <c r="G23" i="2"/>
  <c r="H23" i="2"/>
  <c r="I23" i="2"/>
  <c r="J23" i="2"/>
  <c r="E24" i="2"/>
  <c r="F24" i="2"/>
  <c r="G24" i="2"/>
  <c r="H24" i="2"/>
  <c r="I24" i="2"/>
  <c r="J24" i="2"/>
  <c r="E25" i="2"/>
  <c r="F25" i="2"/>
  <c r="G25" i="2"/>
  <c r="G26" i="2" s="1"/>
  <c r="H25" i="2"/>
  <c r="H26" i="2" s="1"/>
  <c r="I25" i="2"/>
  <c r="J25" i="2"/>
  <c r="E26" i="2"/>
  <c r="F26" i="2"/>
  <c r="I26" i="2"/>
  <c r="J26" i="2"/>
  <c r="I23" i="1"/>
  <c r="I24" i="1"/>
  <c r="I25" i="1"/>
  <c r="I26" i="1" s="1"/>
  <c r="E23" i="1"/>
  <c r="E24" i="1"/>
  <c r="E25" i="1"/>
  <c r="E26" i="1" s="1"/>
  <c r="K25" i="2" l="1"/>
  <c r="K26" i="2" s="1"/>
  <c r="D25" i="2"/>
  <c r="D26" i="2" s="1"/>
  <c r="K24" i="2"/>
  <c r="D24" i="2"/>
  <c r="K23" i="2"/>
  <c r="D23" i="2"/>
  <c r="B23" i="2"/>
  <c r="K25" i="1"/>
  <c r="K26" i="1" s="1"/>
  <c r="J25" i="1"/>
  <c r="J26" i="1" s="1"/>
  <c r="H25" i="1"/>
  <c r="H26" i="1" s="1"/>
  <c r="G25" i="1"/>
  <c r="G26" i="1" s="1"/>
  <c r="F25" i="1"/>
  <c r="F26" i="1" s="1"/>
  <c r="D25" i="1"/>
  <c r="D26" i="1" s="1"/>
  <c r="K24" i="1"/>
  <c r="J24" i="1"/>
  <c r="H24" i="1"/>
  <c r="G24" i="1"/>
  <c r="F24" i="1"/>
  <c r="D24" i="1"/>
  <c r="K23" i="1"/>
  <c r="J23" i="1"/>
  <c r="H23" i="1"/>
  <c r="G23" i="1"/>
  <c r="F23" i="1"/>
  <c r="D23" i="1"/>
  <c r="B25" i="2" l="1"/>
  <c r="B26" i="2" s="1"/>
  <c r="B25" i="1"/>
  <c r="B26" i="1" s="1"/>
  <c r="B23" i="1"/>
  <c r="B24" i="1"/>
</calcChain>
</file>

<file path=xl/sharedStrings.xml><?xml version="1.0" encoding="utf-8"?>
<sst xmlns="http://schemas.openxmlformats.org/spreadsheetml/2006/main" count="217" uniqueCount="45">
  <si>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</si>
  <si>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</si>
  <si>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</si>
  <si>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</si>
  <si>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</si>
  <si>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</si>
  <si>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</si>
  <si>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</si>
  <si>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</si>
  <si>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</si>
  <si>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SUBJECT 11</t>
  </si>
  <si>
    <t>SUBJECT 12</t>
  </si>
  <si>
    <t>SUBJECT 13</t>
  </si>
  <si>
    <t>SUBJECT 14</t>
  </si>
  <si>
    <t>SUBJECT 15</t>
  </si>
  <si>
    <t>SUBJECT 16</t>
  </si>
  <si>
    <t>SUBJECT 17</t>
  </si>
  <si>
    <t>SUBJECT 18</t>
  </si>
  <si>
    <t>SUBJECT 19</t>
  </si>
  <si>
    <t>SUBJECT 20</t>
  </si>
  <si>
    <t>RHYTHMIC MEAN RT</t>
  </si>
  <si>
    <t>ARRYTHMIC MEAN RT</t>
  </si>
  <si>
    <t>RHYTHMIC INDEX</t>
  </si>
  <si>
    <t>RHYTHMIC MIDDLE</t>
  </si>
  <si>
    <t>ARRYTHMIC INDEX</t>
  </si>
  <si>
    <t>ARRYTHMIC MIDDLE</t>
  </si>
  <si>
    <t>MEANS</t>
  </si>
  <si>
    <t>SEM</t>
  </si>
  <si>
    <t>STDEV</t>
  </si>
  <si>
    <t>AGE</t>
  </si>
  <si>
    <t>SEX</t>
  </si>
  <si>
    <t>NA</t>
  </si>
  <si>
    <t>M</t>
  </si>
  <si>
    <t>F</t>
  </si>
  <si>
    <t>MEDIAN</t>
  </si>
  <si>
    <t>BLOCK 1</t>
  </si>
  <si>
    <t>BLOCK 2</t>
  </si>
  <si>
    <t>BLOCK 3</t>
  </si>
  <si>
    <t>BLOCK 4</t>
  </si>
  <si>
    <t>'RY2'</t>
  </si>
  <si>
    <t>'AR2'</t>
  </si>
  <si>
    <t>'AR1'</t>
  </si>
  <si>
    <t>'RY1'</t>
  </si>
  <si>
    <t>RHYTHMIC MEDIAN RT</t>
  </si>
  <si>
    <t>ARRHYTHMIC MEDIAN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</si>
</sst>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5FC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5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2" fillId="8" borderId="3" xfId="0" applyNumberFormat="1" applyFont="1" applyFill="1" applyBorder="1" applyAlignment="1">
      <alignment horizontal="center"/>
    </xf>
    <xf numFmtId="165" fontId="2" fillId="8" borderId="0" xfId="0" applyNumberFormat="1" applyFont="1" applyFill="1" applyBorder="1" applyAlignment="1">
      <alignment horizontal="center"/>
    </xf>
    <xf numFmtId="165" fontId="2" fillId="8" borderId="6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FC79"/>
      <color rgb="FFFF15D2"/>
      <color rgb="FFFF66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3834-EAD6-4A70-B013-968CF36C9DD0}">
  <dimension ref="A1:AB36"/>
  <sheetViews>
    <sheetView zoomScale="80" zoomScaleNormal="80" workbookViewId="0">
      <selection activeCell="M14" sqref="M14"/>
    </sheetView>
  </sheetViews>
  <sheetFormatPr baseColWidth="10" defaultColWidth="8.83203125" defaultRowHeight="15" x14ac:dyDescent="0.2"/>
  <cols>
    <col min="1" max="9" width="11" customWidth="1"/>
    <col min="10" max="18" width="12" customWidth="1"/>
    <col min="19" max="19" width="11.83203125" customWidth="1"/>
    <col min="20" max="20" width="13.1640625" customWidth="1"/>
    <col min="21" max="22" width="14" customWidth="1"/>
    <col min="25" max="25" width="16.83203125" customWidth="1"/>
    <col min="26" max="26" width="13.83203125" customWidth="1"/>
    <col min="27" max="27" width="13.5" customWidth="1"/>
  </cols>
  <sheetData>
    <row r="1" spans="1:17" ht="50" customHeight="1" x14ac:dyDescent="0.2">
      <c r="A1" s="1"/>
      <c r="B1" s="10" t="s">
        <v>29</v>
      </c>
      <c r="C1" s="10" t="s">
        <v>30</v>
      </c>
      <c r="D1" s="10" t="s">
        <v>20</v>
      </c>
      <c r="E1" s="10" t="s">
        <v>43</v>
      </c>
      <c r="F1" s="10" t="s">
        <v>22</v>
      </c>
      <c r="G1" s="10" t="s">
        <v>23</v>
      </c>
      <c r="H1" s="10" t="s">
        <v>21</v>
      </c>
      <c r="I1" s="10" t="s">
        <v>43</v>
      </c>
      <c r="J1" s="10" t="s">
        <v>24</v>
      </c>
      <c r="K1" s="10" t="s">
        <v>25</v>
      </c>
      <c r="M1" s="21"/>
      <c r="N1" s="21"/>
      <c r="O1" s="21"/>
      <c r="P1" s="21"/>
      <c r="Q1" s="21"/>
    </row>
    <row r="2" spans="1:17" x14ac:dyDescent="0.2">
      <c r="A2" s="1" t="s">
        <v>0</v>
      </c>
      <c r="B2" s="13">
        <v>20.846575342465755</v>
      </c>
      <c r="C2" s="14" t="s">
        <v>32</v>
      </c>
      <c r="D2" s="11">
        <v>0.33192483726600502</v>
      </c>
      <c r="E2" s="11">
        <v>0.33464841219649699</v>
      </c>
      <c r="F2" s="3">
        <v>0.33361164489312001</v>
      </c>
      <c r="G2" s="3">
        <v>0.33023802963888998</v>
      </c>
      <c r="H2" s="12">
        <v>0.336610071035571</v>
      </c>
      <c r="I2" s="12">
        <v>0.32845151786833998</v>
      </c>
      <c r="J2" s="4">
        <v>0.32859313187835198</v>
      </c>
      <c r="K2" s="4">
        <v>0.34462701019278902</v>
      </c>
      <c r="M2" s="21"/>
      <c r="N2" s="21"/>
      <c r="O2" s="21"/>
      <c r="P2" s="21"/>
      <c r="Q2" s="21"/>
    </row>
    <row r="3" spans="1:17" x14ac:dyDescent="0.2">
      <c r="A3" s="1" t="s">
        <v>1</v>
      </c>
      <c r="B3" s="13">
        <v>20.490410958904111</v>
      </c>
      <c r="C3" s="14" t="s">
        <v>32</v>
      </c>
      <c r="D3" s="11">
        <v>0.333213368540071</v>
      </c>
      <c r="E3" s="11">
        <v>0.338366093683445</v>
      </c>
      <c r="F3" s="3">
        <v>0.33750069770486402</v>
      </c>
      <c r="G3" s="3">
        <v>0.32926630359470699</v>
      </c>
      <c r="H3" s="12">
        <v>0.33037244726030002</v>
      </c>
      <c r="I3" s="12">
        <v>0.33044110798104698</v>
      </c>
      <c r="J3" s="4">
        <v>0.33147282385263299</v>
      </c>
      <c r="K3" s="4">
        <v>0.32938703538656799</v>
      </c>
      <c r="M3" s="21"/>
      <c r="N3" s="21"/>
      <c r="O3" s="21"/>
      <c r="P3" s="21"/>
      <c r="Q3" s="21"/>
    </row>
    <row r="4" spans="1:17" x14ac:dyDescent="0.2">
      <c r="A4" s="1" t="s">
        <v>2</v>
      </c>
      <c r="B4" s="13">
        <v>21.38082191780822</v>
      </c>
      <c r="C4" s="14" t="s">
        <v>32</v>
      </c>
      <c r="D4" s="11">
        <v>0.32514186187858402</v>
      </c>
      <c r="E4" s="11">
        <v>0.319817788561651</v>
      </c>
      <c r="F4" s="3">
        <v>0.32970359295040502</v>
      </c>
      <c r="G4" s="3">
        <v>0.31968274108771599</v>
      </c>
      <c r="H4" s="12">
        <v>0.32138130541543503</v>
      </c>
      <c r="I4" s="12">
        <v>0.32444191014812601</v>
      </c>
      <c r="J4" s="4">
        <v>0.30806133664727797</v>
      </c>
      <c r="K4" s="4">
        <v>0.33593080976219197</v>
      </c>
      <c r="M4" s="21"/>
      <c r="N4" s="21"/>
      <c r="O4" s="21"/>
      <c r="P4" s="21"/>
      <c r="Q4" s="21"/>
    </row>
    <row r="5" spans="1:17" x14ac:dyDescent="0.2">
      <c r="A5" s="1" t="s">
        <v>3</v>
      </c>
      <c r="B5" s="13">
        <v>21.035616438356165</v>
      </c>
      <c r="C5" s="14" t="s">
        <v>32</v>
      </c>
      <c r="D5" s="11">
        <v>0.34362581527610803</v>
      </c>
      <c r="E5" s="11">
        <v>0.34921419325616398</v>
      </c>
      <c r="F5" s="3">
        <v>0.34056507092810301</v>
      </c>
      <c r="G5" s="3">
        <v>0.34639306359074201</v>
      </c>
      <c r="H5" s="12">
        <v>0.34322241619482202</v>
      </c>
      <c r="I5" s="12">
        <v>0.34515535796950603</v>
      </c>
      <c r="J5" s="4">
        <v>0.33264352443633199</v>
      </c>
      <c r="K5" s="4">
        <v>0.35334792687794803</v>
      </c>
      <c r="M5" s="21"/>
      <c r="N5" s="23"/>
      <c r="O5" s="24"/>
      <c r="P5" s="24"/>
      <c r="Q5" s="21"/>
    </row>
    <row r="6" spans="1:17" x14ac:dyDescent="0.2">
      <c r="A6" s="1" t="s">
        <v>4</v>
      </c>
      <c r="B6" s="13">
        <v>20.194520547945206</v>
      </c>
      <c r="C6" s="14" t="s">
        <v>33</v>
      </c>
      <c r="D6" s="11">
        <v>0.34230860962030102</v>
      </c>
      <c r="E6" s="11">
        <v>0.32624472023467599</v>
      </c>
      <c r="F6" s="3">
        <v>0.33142186539767199</v>
      </c>
      <c r="G6" s="3">
        <v>0.35270050183280899</v>
      </c>
      <c r="H6" s="12">
        <v>0.33561698126893602</v>
      </c>
      <c r="I6" s="12">
        <v>0.33966368025080401</v>
      </c>
      <c r="J6" s="4">
        <v>0.31200438854945101</v>
      </c>
      <c r="K6" s="4">
        <v>0.36189551187610502</v>
      </c>
      <c r="M6" s="21"/>
      <c r="N6" s="22"/>
      <c r="O6" s="22"/>
      <c r="P6" s="22"/>
      <c r="Q6" s="21"/>
    </row>
    <row r="7" spans="1:17" x14ac:dyDescent="0.2">
      <c r="A7" s="1" t="s">
        <v>5</v>
      </c>
      <c r="B7" s="13">
        <v>20.964383561643835</v>
      </c>
      <c r="C7" s="14" t="s">
        <v>32</v>
      </c>
      <c r="D7" s="11">
        <v>0.289745090082765</v>
      </c>
      <c r="E7" s="11">
        <v>0.28415374118609898</v>
      </c>
      <c r="F7" s="3">
        <v>0.278621660837237</v>
      </c>
      <c r="G7" s="3">
        <v>0.30158615992478</v>
      </c>
      <c r="H7" s="12">
        <v>0.28685158618885898</v>
      </c>
      <c r="I7" s="12">
        <v>0.28445809694396701</v>
      </c>
      <c r="J7" s="4">
        <v>0.27114277876357801</v>
      </c>
      <c r="K7" s="4">
        <v>0.30393835917776202</v>
      </c>
      <c r="M7" s="21"/>
      <c r="N7" s="22"/>
      <c r="O7" s="22"/>
      <c r="P7" s="22"/>
      <c r="Q7" s="21"/>
    </row>
    <row r="8" spans="1:17" x14ac:dyDescent="0.2">
      <c r="A8" s="1" t="s">
        <v>6</v>
      </c>
      <c r="B8" s="13">
        <v>20.4986301369863</v>
      </c>
      <c r="C8" s="14" t="s">
        <v>32</v>
      </c>
      <c r="D8" s="11">
        <v>0.339346635102727</v>
      </c>
      <c r="E8" s="11">
        <v>0.33351247024554398</v>
      </c>
      <c r="F8" s="3">
        <v>0.32149522220551302</v>
      </c>
      <c r="G8" s="3">
        <v>0.35770090470126997</v>
      </c>
      <c r="H8" s="12">
        <v>0.334956623833078</v>
      </c>
      <c r="I8" s="12">
        <v>0.33844379203318098</v>
      </c>
      <c r="J8" s="4">
        <v>0.31727258823274102</v>
      </c>
      <c r="K8" s="4">
        <v>0.35264065943341499</v>
      </c>
      <c r="M8" s="21"/>
      <c r="N8" s="22"/>
      <c r="O8" s="22"/>
      <c r="P8" s="22"/>
      <c r="Q8" s="21"/>
    </row>
    <row r="9" spans="1:17" x14ac:dyDescent="0.2">
      <c r="A9" s="1" t="s">
        <v>7</v>
      </c>
      <c r="B9" s="13">
        <v>20.526027397260275</v>
      </c>
      <c r="C9" s="14" t="s">
        <v>32</v>
      </c>
      <c r="D9" s="11">
        <v>0.36518055719141801</v>
      </c>
      <c r="E9" s="11">
        <v>0.36526995502703502</v>
      </c>
      <c r="F9" s="3">
        <v>0.367653101602605</v>
      </c>
      <c r="G9" s="3">
        <v>0.36274235367483099</v>
      </c>
      <c r="H9" s="12">
        <v>0.367882271156102</v>
      </c>
      <c r="I9" s="12">
        <v>0.368601560204183</v>
      </c>
      <c r="J9" s="4">
        <v>0.370539513089443</v>
      </c>
      <c r="K9" s="4">
        <v>0.36529684657231098</v>
      </c>
      <c r="M9" s="21"/>
      <c r="N9" s="22"/>
      <c r="O9" s="22"/>
      <c r="P9" s="22"/>
      <c r="Q9" s="21"/>
    </row>
    <row r="10" spans="1:17" x14ac:dyDescent="0.2">
      <c r="A10" s="1" t="s">
        <v>8</v>
      </c>
      <c r="B10" s="13">
        <v>18.643835616438356</v>
      </c>
      <c r="C10" s="14" t="s">
        <v>32</v>
      </c>
      <c r="D10" s="11">
        <v>0.38440314666513797</v>
      </c>
      <c r="E10" s="11">
        <v>0.36749136709369201</v>
      </c>
      <c r="F10" s="3">
        <v>0.39034345029895801</v>
      </c>
      <c r="G10" s="3">
        <v>0.37811341340580101</v>
      </c>
      <c r="H10" s="12">
        <v>0.38136334141085299</v>
      </c>
      <c r="I10" s="12">
        <v>0.37533635605601601</v>
      </c>
      <c r="J10" s="4">
        <v>0.37809031083425398</v>
      </c>
      <c r="K10" s="4">
        <v>0.38468672630401601</v>
      </c>
      <c r="M10" s="21"/>
      <c r="N10" s="22"/>
      <c r="O10" s="22"/>
      <c r="P10" s="22"/>
      <c r="Q10" s="21"/>
    </row>
    <row r="11" spans="1:17" x14ac:dyDescent="0.2">
      <c r="A11" s="1" t="s">
        <v>9</v>
      </c>
      <c r="B11" s="13">
        <v>18.838356164383562</v>
      </c>
      <c r="C11" s="14" t="s">
        <v>32</v>
      </c>
      <c r="D11" s="11">
        <v>0.322285850385579</v>
      </c>
      <c r="E11" s="11">
        <v>0.30591171209880302</v>
      </c>
      <c r="F11" s="3">
        <v>0.31396986913499197</v>
      </c>
      <c r="G11" s="3">
        <v>0.33073596036601399</v>
      </c>
      <c r="H11" s="12">
        <v>0.31728308709578401</v>
      </c>
      <c r="I11" s="12">
        <v>0.33171427322883001</v>
      </c>
      <c r="J11" s="4">
        <v>0.32303393041345102</v>
      </c>
      <c r="K11" s="4">
        <v>0.31133729993684101</v>
      </c>
      <c r="M11" s="21"/>
      <c r="N11" s="22"/>
      <c r="O11" s="22"/>
      <c r="P11" s="22"/>
      <c r="Q11" s="21"/>
    </row>
    <row r="12" spans="1:17" x14ac:dyDescent="0.2">
      <c r="A12" s="1" t="s">
        <v>10</v>
      </c>
      <c r="B12" s="13">
        <v>20.263013698630136</v>
      </c>
      <c r="C12" s="14" t="s">
        <v>32</v>
      </c>
      <c r="D12" s="11">
        <v>0.33501209800911902</v>
      </c>
      <c r="E12" s="11">
        <v>0.33238025345095201</v>
      </c>
      <c r="F12" s="3">
        <v>0.31277920785570301</v>
      </c>
      <c r="G12" s="3">
        <v>0.35689208514422799</v>
      </c>
      <c r="H12" s="12">
        <v>0.332223832320655</v>
      </c>
      <c r="I12" s="12">
        <v>0.33898885548337598</v>
      </c>
      <c r="J12" s="4">
        <v>0.30871367816013601</v>
      </c>
      <c r="K12" s="4">
        <v>0.35751505876605999</v>
      </c>
      <c r="M12" s="21"/>
      <c r="N12" s="22"/>
      <c r="O12" s="22"/>
      <c r="P12" s="22"/>
      <c r="Q12" s="21"/>
    </row>
    <row r="13" spans="1:17" x14ac:dyDescent="0.2">
      <c r="A13" s="1" t="s">
        <v>11</v>
      </c>
      <c r="B13" s="13">
        <v>21.2</v>
      </c>
      <c r="C13" s="14" t="s">
        <v>32</v>
      </c>
      <c r="D13" s="11">
        <v>0.31692687450569201</v>
      </c>
      <c r="E13" s="11">
        <v>0.30844998096104498</v>
      </c>
      <c r="F13" s="3">
        <v>0.31097416763135599</v>
      </c>
      <c r="G13" s="3">
        <v>0.32279690489566298</v>
      </c>
      <c r="H13" s="12">
        <v>0.310309829961609</v>
      </c>
      <c r="I13" s="12">
        <v>0.31142906554963901</v>
      </c>
      <c r="J13" s="4">
        <v>0.29809483246802498</v>
      </c>
      <c r="K13" s="4">
        <v>0.32235278523697303</v>
      </c>
      <c r="M13" s="21"/>
      <c r="N13" s="22"/>
      <c r="O13" s="22"/>
      <c r="P13" s="22"/>
      <c r="Q13" s="21"/>
    </row>
    <row r="14" spans="1:17" x14ac:dyDescent="0.2">
      <c r="A14" s="1" t="s">
        <v>12</v>
      </c>
      <c r="B14" s="13">
        <v>18.56986301369863</v>
      </c>
      <c r="C14" s="14" t="s">
        <v>32</v>
      </c>
      <c r="D14" s="11">
        <v>0.37168372460709898</v>
      </c>
      <c r="E14" s="11">
        <v>0.36913949018432002</v>
      </c>
      <c r="F14" s="3">
        <v>0.37100643797480598</v>
      </c>
      <c r="G14" s="3">
        <v>0.37236101123939203</v>
      </c>
      <c r="H14" s="12">
        <v>0.36664493535742498</v>
      </c>
      <c r="I14" s="12">
        <v>0.37172604102985901</v>
      </c>
      <c r="J14" s="4">
        <v>0.364157090140518</v>
      </c>
      <c r="K14" s="4">
        <v>0.369029120356961</v>
      </c>
      <c r="M14" s="21"/>
      <c r="N14" s="22"/>
      <c r="O14" s="22"/>
      <c r="P14" s="22"/>
      <c r="Q14" s="21"/>
    </row>
    <row r="15" spans="1:17" x14ac:dyDescent="0.2">
      <c r="A15" s="1" t="s">
        <v>13</v>
      </c>
      <c r="B15" s="13">
        <v>20.591780821917808</v>
      </c>
      <c r="C15" s="14" t="s">
        <v>32</v>
      </c>
      <c r="D15" s="11">
        <v>0.2965451979864</v>
      </c>
      <c r="E15" s="11">
        <v>0.282602487335953</v>
      </c>
      <c r="F15" s="3">
        <v>0.29188913078970702</v>
      </c>
      <c r="G15" s="3">
        <v>0.30051654941887401</v>
      </c>
      <c r="H15" s="12">
        <v>0.28682290712657599</v>
      </c>
      <c r="I15" s="12">
        <v>0.29602031466383</v>
      </c>
      <c r="J15" s="4">
        <v>0.27493649086383498</v>
      </c>
      <c r="K15" s="4">
        <v>0.29909904195530901</v>
      </c>
      <c r="M15" s="21"/>
      <c r="N15" s="22"/>
      <c r="O15" s="22"/>
      <c r="P15" s="22"/>
      <c r="Q15" s="21"/>
    </row>
    <row r="16" spans="1:17" x14ac:dyDescent="0.2">
      <c r="A16" s="1" t="s">
        <v>14</v>
      </c>
      <c r="B16" s="13">
        <v>21.158904109589042</v>
      </c>
      <c r="C16" s="14" t="s">
        <v>33</v>
      </c>
      <c r="D16" s="11">
        <v>0.32060327235909603</v>
      </c>
      <c r="E16" s="11">
        <v>0.31432686936069598</v>
      </c>
      <c r="F16" s="3">
        <v>0.30136327173703797</v>
      </c>
      <c r="G16" s="3">
        <v>0.34104577302003303</v>
      </c>
      <c r="H16" s="12">
        <v>0.316376557275452</v>
      </c>
      <c r="I16" s="12">
        <v>0.31835119203145401</v>
      </c>
      <c r="J16" s="4">
        <v>0.319159722363686</v>
      </c>
      <c r="K16" s="4">
        <v>0.31350775633834899</v>
      </c>
      <c r="M16" s="21"/>
      <c r="N16" s="22"/>
      <c r="O16" s="22"/>
      <c r="P16" s="22"/>
      <c r="Q16" s="21"/>
    </row>
    <row r="17" spans="1:28" x14ac:dyDescent="0.2">
      <c r="A17" s="1" t="s">
        <v>15</v>
      </c>
      <c r="B17" s="13">
        <v>25.616438356164384</v>
      </c>
      <c r="C17" s="14" t="s">
        <v>32</v>
      </c>
      <c r="D17" s="11">
        <v>0.32056079557896999</v>
      </c>
      <c r="E17" s="11">
        <v>0.31801668514302101</v>
      </c>
      <c r="F17" s="3">
        <v>0.31633566907775601</v>
      </c>
      <c r="G17" s="3">
        <v>0.32485092402635501</v>
      </c>
      <c r="H17" s="12">
        <v>0.31703674030647</v>
      </c>
      <c r="I17" s="12">
        <v>0.32065481430079801</v>
      </c>
      <c r="J17" s="4">
        <v>0.31905173852834701</v>
      </c>
      <c r="K17" s="4">
        <v>0.31511333291286098</v>
      </c>
      <c r="M17" s="21"/>
      <c r="N17" s="21"/>
      <c r="O17" s="21"/>
      <c r="P17" s="21"/>
      <c r="Q17" s="21"/>
    </row>
    <row r="18" spans="1:28" x14ac:dyDescent="0.2">
      <c r="A18" s="1" t="s">
        <v>16</v>
      </c>
      <c r="B18" s="13">
        <v>19.372602739726027</v>
      </c>
      <c r="C18" s="14" t="s">
        <v>33</v>
      </c>
      <c r="D18" s="11">
        <v>0.37010960284721101</v>
      </c>
      <c r="E18" s="11">
        <v>0.35849581126783198</v>
      </c>
      <c r="F18" s="3">
        <v>0.38621840632924398</v>
      </c>
      <c r="G18" s="3">
        <v>0.35488347352857702</v>
      </c>
      <c r="H18" s="12">
        <v>0.36433061932258598</v>
      </c>
      <c r="I18" s="12">
        <v>0.37050695998014599</v>
      </c>
      <c r="J18" s="4">
        <v>0.38999360925398702</v>
      </c>
      <c r="K18" s="4">
        <v>0.34042536842758198</v>
      </c>
      <c r="M18" s="21"/>
      <c r="N18" s="21"/>
      <c r="O18" s="21"/>
      <c r="P18" s="21"/>
      <c r="Q18" s="21"/>
    </row>
    <row r="19" spans="1:28" x14ac:dyDescent="0.2">
      <c r="A19" s="1" t="s">
        <v>17</v>
      </c>
      <c r="B19" s="13">
        <v>19.452054794520549</v>
      </c>
      <c r="C19" s="14" t="s">
        <v>33</v>
      </c>
      <c r="D19" s="11">
        <v>0.38309738343602301</v>
      </c>
      <c r="E19" s="11">
        <v>0.37785321670769301</v>
      </c>
      <c r="F19" s="3">
        <v>0.388163600181538</v>
      </c>
      <c r="G19" s="3">
        <v>0.378301364916935</v>
      </c>
      <c r="H19" s="12">
        <v>0.37620979833375701</v>
      </c>
      <c r="I19" s="12">
        <v>0.37898796116544498</v>
      </c>
      <c r="J19" s="4">
        <v>0.392448586311756</v>
      </c>
      <c r="K19" s="4">
        <v>0.36041590865652501</v>
      </c>
      <c r="M19" s="21"/>
      <c r="N19" s="21"/>
      <c r="O19" s="21"/>
      <c r="P19" s="21"/>
      <c r="Q19" s="21"/>
    </row>
    <row r="20" spans="1:28" x14ac:dyDescent="0.2">
      <c r="A20" s="1" t="s">
        <v>18</v>
      </c>
      <c r="B20" s="13">
        <v>22.917808219178081</v>
      </c>
      <c r="C20" s="14" t="s">
        <v>33</v>
      </c>
      <c r="D20" s="11">
        <v>0.40355474040037298</v>
      </c>
      <c r="E20" s="11">
        <v>0.39715031988507798</v>
      </c>
      <c r="F20" s="3">
        <v>0.383669080039588</v>
      </c>
      <c r="G20" s="3">
        <v>0.42497006694275602</v>
      </c>
      <c r="H20" s="12">
        <v>0.41151262654634602</v>
      </c>
      <c r="I20" s="12">
        <v>0.394189061624524</v>
      </c>
      <c r="J20" s="4">
        <v>0.39294034426651703</v>
      </c>
      <c r="K20" s="4">
        <v>0.43035407233747502</v>
      </c>
      <c r="M20" s="21"/>
      <c r="N20" s="21"/>
      <c r="O20" s="21"/>
      <c r="P20" s="21"/>
      <c r="Q20" s="21"/>
    </row>
    <row r="21" spans="1:28" x14ac:dyDescent="0.2">
      <c r="A21" s="1" t="s">
        <v>19</v>
      </c>
      <c r="B21" s="13">
        <v>20.832876712328765</v>
      </c>
      <c r="C21" s="14" t="s">
        <v>33</v>
      </c>
      <c r="D21" s="11">
        <v>0.30604846489024901</v>
      </c>
      <c r="E21" s="11">
        <v>0.31895359990167799</v>
      </c>
      <c r="F21" s="3">
        <v>0.32391979180146202</v>
      </c>
      <c r="G21" s="3">
        <v>0.287042450556103</v>
      </c>
      <c r="H21" s="12">
        <v>0.31173747760930698</v>
      </c>
      <c r="I21" s="12">
        <v>0.30878178266206502</v>
      </c>
      <c r="J21" s="4">
        <v>0.32522065801773498</v>
      </c>
      <c r="K21" s="4">
        <v>0.298036826549129</v>
      </c>
      <c r="M21" s="21"/>
      <c r="N21" s="23"/>
      <c r="O21" s="25"/>
      <c r="P21" s="25"/>
      <c r="Q21" s="21"/>
    </row>
    <row r="22" spans="1:28" ht="16" thickBot="1" x14ac:dyDescent="0.25">
      <c r="D22" s="5"/>
      <c r="E22" s="5"/>
      <c r="F22" s="5"/>
      <c r="G22" s="5"/>
      <c r="H22" s="5"/>
      <c r="I22" s="5"/>
      <c r="J22" s="5"/>
      <c r="K22" s="5"/>
      <c r="M22" s="21"/>
      <c r="N22" s="22"/>
      <c r="O22" s="22"/>
      <c r="P22" s="22"/>
      <c r="Q22" s="21"/>
    </row>
    <row r="23" spans="1:28" x14ac:dyDescent="0.2">
      <c r="A23" s="6" t="s">
        <v>26</v>
      </c>
      <c r="B23" s="17">
        <f t="shared" ref="B23" si="0">AVERAGE(B2:B21)</f>
        <v>20.669726027397257</v>
      </c>
      <c r="C23" s="17" t="s">
        <v>31</v>
      </c>
      <c r="D23" s="17">
        <f t="shared" ref="D23:K23" si="1">AVERAGE(D2:D21)</f>
        <v>0.34006589633144635</v>
      </c>
      <c r="E23" s="17">
        <f t="shared" ref="E23" si="2">AVERAGE(E2:E21)</f>
        <v>0.33509995838909368</v>
      </c>
      <c r="F23" s="17">
        <f t="shared" si="1"/>
        <v>0.33656024696858333</v>
      </c>
      <c r="G23" s="17">
        <f t="shared" si="1"/>
        <v>0.34364100177532386</v>
      </c>
      <c r="H23" s="17">
        <f t="shared" si="1"/>
        <v>0.33743727275099611</v>
      </c>
      <c r="I23" s="17">
        <f t="shared" ref="I23" si="3">AVERAGE(I2:I21)</f>
        <v>0.3388171850587568</v>
      </c>
      <c r="J23" s="17">
        <f t="shared" si="1"/>
        <v>0.33287855385360282</v>
      </c>
      <c r="K23" s="17">
        <f t="shared" si="1"/>
        <v>0.34244687285285852</v>
      </c>
      <c r="M23" s="21"/>
      <c r="N23" s="22"/>
      <c r="O23" s="22"/>
      <c r="P23" s="22"/>
      <c r="Q23" s="21"/>
    </row>
    <row r="24" spans="1:28" x14ac:dyDescent="0.2">
      <c r="A24" s="7" t="s">
        <v>34</v>
      </c>
      <c r="B24" s="18">
        <f t="shared" ref="B24" si="4">MEDIAN(B2:B21)</f>
        <v>20.558904109589044</v>
      </c>
      <c r="C24" s="18" t="s">
        <v>31</v>
      </c>
      <c r="D24" s="18">
        <f>MEDIAN(D2:D21)</f>
        <v>0.33411273327459501</v>
      </c>
      <c r="E24" s="18">
        <f>MEDIAN(E2:E21)</f>
        <v>0.332946361848248</v>
      </c>
      <c r="F24" s="18">
        <f t="shared" ref="F24:K24" si="5">MEDIAN(F2:F21)</f>
        <v>0.33056272917403851</v>
      </c>
      <c r="G24" s="18">
        <f t="shared" si="5"/>
        <v>0.34371941830538755</v>
      </c>
      <c r="H24" s="18">
        <f t="shared" si="5"/>
        <v>0.3335902280768665</v>
      </c>
      <c r="I24" s="18">
        <f t="shared" ref="I24" si="6">MEDIAN(I2:I21)</f>
        <v>0.33507903263100547</v>
      </c>
      <c r="J24" s="18">
        <f t="shared" si="5"/>
        <v>0.324127294215593</v>
      </c>
      <c r="K24" s="18">
        <f t="shared" si="5"/>
        <v>0.34252618931018552</v>
      </c>
      <c r="M24" s="21"/>
      <c r="N24" s="22"/>
      <c r="O24" s="22"/>
      <c r="P24" s="22"/>
      <c r="Q24" s="21"/>
    </row>
    <row r="25" spans="1:28" x14ac:dyDescent="0.2">
      <c r="A25" s="7" t="s">
        <v>28</v>
      </c>
      <c r="B25" s="18">
        <f t="shared" ref="B25" si="7">_xlfn.STDEV.S(B2:B21)</f>
        <v>1.5617261706877554</v>
      </c>
      <c r="C25" s="18" t="s">
        <v>31</v>
      </c>
      <c r="D25" s="18">
        <f>_xlfn.STDEV.S(D2:D21)</f>
        <v>3.0741126859384488E-2</v>
      </c>
      <c r="E25" s="18">
        <f>_xlfn.STDEV.S(E2:E21)</f>
        <v>3.05848922790041E-2</v>
      </c>
      <c r="F25" s="18">
        <f t="shared" ref="F25:K25" si="8">_xlfn.STDEV.S(F2:F21)</f>
        <v>3.3725321709425098E-2</v>
      </c>
      <c r="G25" s="18">
        <f t="shared" si="8"/>
        <v>3.206566591840207E-2</v>
      </c>
      <c r="H25" s="18">
        <f t="shared" si="8"/>
        <v>3.2105696223847013E-2</v>
      </c>
      <c r="I25" s="18">
        <f t="shared" ref="I25" si="9">_xlfn.STDEV.S(I2:I21)</f>
        <v>2.9603465830187629E-2</v>
      </c>
      <c r="J25" s="18">
        <f t="shared" si="8"/>
        <v>3.6758018263313666E-2</v>
      </c>
      <c r="K25" s="18">
        <f t="shared" si="8"/>
        <v>3.277015118740776E-2</v>
      </c>
      <c r="M25" s="21"/>
      <c r="N25" s="22"/>
      <c r="O25" s="22"/>
      <c r="P25" s="22"/>
      <c r="Q25" s="21"/>
    </row>
    <row r="26" spans="1:28" ht="16" thickBot="1" x14ac:dyDescent="0.25">
      <c r="A26" s="8" t="s">
        <v>27</v>
      </c>
      <c r="B26" s="19">
        <f t="shared" ref="B26" si="10">B25/SQRT(COUNT(B2:B21))</f>
        <v>0.34921258798982607</v>
      </c>
      <c r="C26" s="19" t="s">
        <v>31</v>
      </c>
      <c r="D26" s="19">
        <f>D25/SQRT(COUNT(D2:D21))</f>
        <v>6.8739249362528331E-3</v>
      </c>
      <c r="E26" s="19">
        <f>E25/SQRT(COUNT(E2:E21))</f>
        <v>6.8389898220361624E-3</v>
      </c>
      <c r="F26" s="19">
        <f t="shared" ref="F26:K26" si="11">F25/SQRT(COUNT(F2:F21))</f>
        <v>7.5412111905323927E-3</v>
      </c>
      <c r="G26" s="19">
        <f t="shared" si="11"/>
        <v>7.1701008737345253E-3</v>
      </c>
      <c r="H26" s="19">
        <f t="shared" si="11"/>
        <v>7.1790519221480225E-3</v>
      </c>
      <c r="I26" s="19">
        <f t="shared" ref="I26" si="12">I25/SQRT(COUNT(I2:I21))</f>
        <v>6.6195361965891786E-3</v>
      </c>
      <c r="J26" s="19">
        <f t="shared" si="11"/>
        <v>8.2193427554948118E-3</v>
      </c>
      <c r="K26" s="19">
        <f t="shared" si="11"/>
        <v>7.3276285687989195E-3</v>
      </c>
      <c r="M26" s="21"/>
      <c r="N26" s="22"/>
      <c r="O26" s="22"/>
      <c r="P26" s="22"/>
      <c r="Q26" s="21"/>
    </row>
    <row r="27" spans="1:28" x14ac:dyDescent="0.2">
      <c r="V27" s="21"/>
      <c r="W27" s="22"/>
      <c r="X27" s="22"/>
      <c r="Y27" s="22"/>
      <c r="Z27" s="21"/>
    </row>
    <row r="28" spans="1:28" x14ac:dyDescent="0.2">
      <c r="X28" s="21"/>
      <c r="Y28" s="22"/>
      <c r="Z28" s="22"/>
      <c r="AA28" s="22"/>
      <c r="AB28" s="21"/>
    </row>
    <row r="29" spans="1:28" x14ac:dyDescent="0.2">
      <c r="X29" s="21"/>
      <c r="Y29" s="22"/>
      <c r="Z29" s="22"/>
      <c r="AA29" s="22"/>
      <c r="AB29" s="21"/>
    </row>
    <row r="30" spans="1:28" x14ac:dyDescent="0.2">
      <c r="X30" s="21"/>
      <c r="Y30" s="22"/>
      <c r="Z30" s="22"/>
      <c r="AA30" s="22"/>
      <c r="AB30" s="21"/>
    </row>
    <row r="31" spans="1:28" x14ac:dyDescent="0.2">
      <c r="X31" s="21"/>
      <c r="Y31" s="22"/>
      <c r="Z31" s="22"/>
      <c r="AA31" s="22"/>
      <c r="AB31" s="21"/>
    </row>
    <row r="32" spans="1:28" x14ac:dyDescent="0.2">
      <c r="X32" s="21"/>
      <c r="Y32" s="22"/>
      <c r="Z32" s="22"/>
      <c r="AA32" s="22"/>
      <c r="AB32" s="21"/>
    </row>
    <row r="33" spans="24:28" x14ac:dyDescent="0.2">
      <c r="X33" s="21"/>
      <c r="Y33" s="21"/>
      <c r="Z33" s="21"/>
      <c r="AA33" s="21"/>
      <c r="AB33" s="21"/>
    </row>
    <row r="34" spans="24:28" x14ac:dyDescent="0.2">
      <c r="X34" s="21"/>
      <c r="Y34" s="21"/>
      <c r="Z34" s="21"/>
      <c r="AA34" s="21"/>
      <c r="AB34" s="21"/>
    </row>
    <row r="35" spans="24:28" x14ac:dyDescent="0.2">
      <c r="X35" s="21"/>
      <c r="Y35" s="21"/>
      <c r="Z35" s="21"/>
      <c r="AA35" s="21"/>
      <c r="AB35" s="21"/>
    </row>
    <row r="36" spans="24:28" x14ac:dyDescent="0.2">
      <c r="X36" s="21"/>
      <c r="Y36" s="21"/>
      <c r="Z36" s="21"/>
      <c r="AA36" s="21"/>
      <c r="AB36" s="2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6054-F4A1-4D12-ADC0-4EA4A41C86F1}">
  <dimension ref="A1:AF48"/>
  <sheetViews>
    <sheetView tabSelected="1" zoomScaleNormal="80" workbookViewId="0">
      <selection activeCell="N9" sqref="N9"/>
    </sheetView>
  </sheetViews>
  <sheetFormatPr baseColWidth="10" defaultColWidth="8.83203125" defaultRowHeight="15" x14ac:dyDescent="0.2"/>
  <cols>
    <col min="1" max="9" width="11" customWidth="1"/>
    <col min="10" max="17" width="12" customWidth="1"/>
    <col min="18" max="18" width="10" customWidth="1"/>
    <col min="21" max="22" width="10.6640625" customWidth="1"/>
    <col min="23" max="23" width="12" customWidth="1"/>
    <col min="24" max="24" width="11.83203125" customWidth="1"/>
    <col min="25" max="25" width="15.5" customWidth="1"/>
    <col min="26" max="26" width="13.1640625" customWidth="1"/>
    <col min="27" max="27" width="12.1640625" customWidth="1"/>
    <col min="29" max="29" width="14" customWidth="1"/>
    <col min="30" max="30" width="13.6640625" customWidth="1"/>
    <col min="31" max="31" width="14" customWidth="1"/>
  </cols>
  <sheetData>
    <row r="1" spans="1:21" ht="32" x14ac:dyDescent="0.2">
      <c r="A1" s="1"/>
      <c r="B1" s="10" t="s">
        <v>29</v>
      </c>
      <c r="C1" s="10" t="s">
        <v>30</v>
      </c>
      <c r="D1" s="2" t="s">
        <v>20</v>
      </c>
      <c r="E1" s="2" t="s">
        <v>43</v>
      </c>
      <c r="F1" s="2" t="s">
        <v>22</v>
      </c>
      <c r="G1" s="2" t="s">
        <v>23</v>
      </c>
      <c r="H1" s="2" t="s">
        <v>21</v>
      </c>
      <c r="I1" s="2" t="s">
        <v>44</v>
      </c>
      <c r="J1" s="2" t="s">
        <v>24</v>
      </c>
      <c r="K1" s="2" t="s">
        <v>25</v>
      </c>
      <c r="L1" s="9" t="s">
        <v>35</v>
      </c>
      <c r="M1" s="9" t="s">
        <v>36</v>
      </c>
      <c r="N1" s="9" t="s">
        <v>37</v>
      </c>
      <c r="O1" s="9" t="s">
        <v>38</v>
      </c>
    </row>
    <row r="2" spans="1:21" x14ac:dyDescent="0.2">
      <c r="A2" s="1" t="s">
        <v>0</v>
      </c>
      <c r="B2" s="13">
        <v>22.043835616438358</v>
      </c>
      <c r="C2" s="14" t="s">
        <v>32</v>
      </c>
      <c r="D2" s="11">
        <v>0.34242831518028799</v>
      </c>
      <c r="E2" s="11">
        <v>0.33931961731263099</v>
      </c>
      <c r="F2" s="3">
        <v>0.33977068062974802</v>
      </c>
      <c r="G2" s="3">
        <v>0.34524701849146699</v>
      </c>
      <c r="H2" s="12">
        <v>0.34577934810181798</v>
      </c>
      <c r="I2" s="12">
        <v>0.34069917116780302</v>
      </c>
      <c r="J2" s="4">
        <v>0.33715052039784299</v>
      </c>
      <c r="K2" s="4">
        <v>0.35491575390602698</v>
      </c>
      <c r="L2" s="15" t="s">
        <v>39</v>
      </c>
      <c r="M2" s="16" t="s">
        <v>40</v>
      </c>
      <c r="N2" s="16" t="s">
        <v>41</v>
      </c>
      <c r="O2" s="16" t="s">
        <v>42</v>
      </c>
    </row>
    <row r="3" spans="1:21" x14ac:dyDescent="0.2">
      <c r="A3" s="1" t="s">
        <v>1</v>
      </c>
      <c r="B3" s="13">
        <v>20.652054794520549</v>
      </c>
      <c r="C3" s="14" t="s">
        <v>33</v>
      </c>
      <c r="D3" s="11">
        <v>0.32917646645779902</v>
      </c>
      <c r="E3" s="11">
        <v>0.290802619013728</v>
      </c>
      <c r="F3" s="3">
        <v>0.32116205091454902</v>
      </c>
      <c r="G3" s="3">
        <v>0.33742318390085502</v>
      </c>
      <c r="H3" s="12">
        <v>0.30142303631050199</v>
      </c>
      <c r="I3" s="12">
        <v>0.32173937448006101</v>
      </c>
      <c r="J3" s="4">
        <v>0.29601200023316399</v>
      </c>
      <c r="K3" s="4">
        <v>0.30667254892284501</v>
      </c>
      <c r="L3" s="15" t="s">
        <v>42</v>
      </c>
      <c r="M3" s="16" t="s">
        <v>41</v>
      </c>
      <c r="N3" s="16" t="s">
        <v>40</v>
      </c>
      <c r="O3" s="16" t="s">
        <v>39</v>
      </c>
      <c r="Q3" s="21"/>
      <c r="R3" s="21"/>
      <c r="S3" s="21"/>
      <c r="T3" s="21"/>
      <c r="U3" s="21"/>
    </row>
    <row r="4" spans="1:21" x14ac:dyDescent="0.2">
      <c r="A4" s="1" t="s">
        <v>2</v>
      </c>
      <c r="B4" s="13">
        <v>20.158904109589042</v>
      </c>
      <c r="C4" s="14" t="s">
        <v>33</v>
      </c>
      <c r="D4" s="11">
        <v>0.335296686837117</v>
      </c>
      <c r="E4" s="11">
        <v>0.32966267154826601</v>
      </c>
      <c r="F4" s="3">
        <v>0.31424278316436699</v>
      </c>
      <c r="G4" s="3">
        <v>0.35606607829807302</v>
      </c>
      <c r="H4" s="12">
        <v>0.33599850108152401</v>
      </c>
      <c r="I4" s="12">
        <v>0.33749532562774998</v>
      </c>
      <c r="J4" s="4">
        <v>0.31994316472545098</v>
      </c>
      <c r="K4" s="4">
        <v>0.35205383743759699</v>
      </c>
      <c r="L4" s="15" t="s">
        <v>40</v>
      </c>
      <c r="M4" s="16" t="s">
        <v>39</v>
      </c>
      <c r="N4" s="16" t="s">
        <v>42</v>
      </c>
      <c r="O4" s="16" t="s">
        <v>41</v>
      </c>
      <c r="Q4" s="21"/>
      <c r="R4" s="21"/>
      <c r="S4" s="21"/>
      <c r="T4" s="21"/>
      <c r="U4" s="21"/>
    </row>
    <row r="5" spans="1:21" x14ac:dyDescent="0.2">
      <c r="A5" s="1" t="s">
        <v>3</v>
      </c>
      <c r="B5" s="13">
        <v>21.052054794520547</v>
      </c>
      <c r="C5" s="14" t="s">
        <v>33</v>
      </c>
      <c r="D5" s="11">
        <v>0.34591632336509998</v>
      </c>
      <c r="E5" s="11">
        <v>0.32405234389948401</v>
      </c>
      <c r="F5" s="3">
        <v>0.34793293374478601</v>
      </c>
      <c r="G5" s="3">
        <v>0.34377561388512401</v>
      </c>
      <c r="H5" s="12">
        <v>0.32651261839040502</v>
      </c>
      <c r="I5" s="12">
        <v>0.34394204761018099</v>
      </c>
      <c r="J5" s="4">
        <v>0.31018569150256498</v>
      </c>
      <c r="K5" s="4">
        <v>0.342595859802308</v>
      </c>
      <c r="L5" s="15" t="s">
        <v>39</v>
      </c>
      <c r="M5" s="16" t="s">
        <v>40</v>
      </c>
      <c r="N5" s="16" t="s">
        <v>41</v>
      </c>
      <c r="O5" s="16" t="s">
        <v>42</v>
      </c>
      <c r="Q5" s="21"/>
      <c r="R5" s="21"/>
      <c r="S5" s="21"/>
      <c r="T5" s="21"/>
      <c r="U5" s="21"/>
    </row>
    <row r="6" spans="1:21" x14ac:dyDescent="0.2">
      <c r="A6" s="1" t="s">
        <v>4</v>
      </c>
      <c r="B6" s="13">
        <v>20.471232876712328</v>
      </c>
      <c r="C6" s="14" t="s">
        <v>33</v>
      </c>
      <c r="D6" s="11">
        <v>0.32717669131722799</v>
      </c>
      <c r="E6" s="11">
        <v>0.36124468420386402</v>
      </c>
      <c r="F6" s="3">
        <v>0.348158002093859</v>
      </c>
      <c r="G6" s="3">
        <v>0.30958941610740498</v>
      </c>
      <c r="H6" s="12">
        <v>0.35937353754288398</v>
      </c>
      <c r="I6" s="12">
        <v>0.30903581992293799</v>
      </c>
      <c r="J6" s="4">
        <v>0.38737358469984701</v>
      </c>
      <c r="K6" s="4">
        <v>0.33492279213821102</v>
      </c>
      <c r="L6" s="15" t="s">
        <v>39</v>
      </c>
      <c r="M6" s="16" t="s">
        <v>40</v>
      </c>
      <c r="N6" s="16" t="s">
        <v>41</v>
      </c>
      <c r="O6" s="16" t="s">
        <v>42</v>
      </c>
      <c r="Q6" s="21"/>
      <c r="R6" s="21"/>
      <c r="S6" s="21"/>
      <c r="T6" s="21"/>
      <c r="U6" s="21"/>
    </row>
    <row r="7" spans="1:21" x14ac:dyDescent="0.2">
      <c r="A7" s="1" t="s">
        <v>5</v>
      </c>
      <c r="B7" s="13">
        <v>20.578082191780823</v>
      </c>
      <c r="C7" s="14" t="s">
        <v>33</v>
      </c>
      <c r="D7" s="11">
        <v>0.40951467027259297</v>
      </c>
      <c r="E7" s="11">
        <v>0.37568802416175501</v>
      </c>
      <c r="F7" s="3">
        <v>0.40553954553663402</v>
      </c>
      <c r="G7" s="3">
        <v>0.41372362587537298</v>
      </c>
      <c r="H7" s="12">
        <v>0.38054073418631001</v>
      </c>
      <c r="I7" s="12">
        <v>0.40875755721999002</v>
      </c>
      <c r="J7" s="4">
        <v>0.37710206920942602</v>
      </c>
      <c r="K7" s="4">
        <v>0.38413110497099701</v>
      </c>
      <c r="L7" s="15" t="s">
        <v>39</v>
      </c>
      <c r="M7" s="16" t="s">
        <v>40</v>
      </c>
      <c r="N7" s="16" t="s">
        <v>41</v>
      </c>
      <c r="O7" s="16" t="s">
        <v>42</v>
      </c>
      <c r="Q7" s="21"/>
      <c r="R7" s="23"/>
      <c r="S7" s="24"/>
      <c r="T7" s="24"/>
      <c r="U7" s="21"/>
    </row>
    <row r="8" spans="1:21" x14ac:dyDescent="0.2">
      <c r="A8" s="1" t="s">
        <v>6</v>
      </c>
      <c r="B8" s="13">
        <v>19.649315068493152</v>
      </c>
      <c r="C8" s="14" t="s">
        <v>33</v>
      </c>
      <c r="D8" s="11">
        <v>0.35551596929061102</v>
      </c>
      <c r="E8" s="11">
        <v>0.34317789888035299</v>
      </c>
      <c r="F8" s="3">
        <v>0.34344296280216902</v>
      </c>
      <c r="G8" s="3">
        <v>0.36758897577905297</v>
      </c>
      <c r="H8" s="12">
        <v>0.34649365187476799</v>
      </c>
      <c r="I8" s="12">
        <v>0.35551388336294398</v>
      </c>
      <c r="J8" s="4">
        <v>0.34643895895444698</v>
      </c>
      <c r="K8" s="4">
        <v>0.34655090852572901</v>
      </c>
      <c r="L8" s="15" t="s">
        <v>39</v>
      </c>
      <c r="M8" s="16" t="s">
        <v>40</v>
      </c>
      <c r="N8" s="16" t="s">
        <v>41</v>
      </c>
      <c r="O8" s="16" t="s">
        <v>42</v>
      </c>
      <c r="Q8" s="21"/>
      <c r="R8" s="22"/>
      <c r="S8" s="22"/>
      <c r="T8" s="22"/>
      <c r="U8" s="21"/>
    </row>
    <row r="9" spans="1:21" x14ac:dyDescent="0.2">
      <c r="A9" s="1" t="s">
        <v>7</v>
      </c>
      <c r="B9" s="13">
        <v>20.106849315068494</v>
      </c>
      <c r="C9" s="14" t="s">
        <v>32</v>
      </c>
      <c r="D9" s="11">
        <v>0.34875483097579102</v>
      </c>
      <c r="E9" s="11">
        <v>0.35449234786793299</v>
      </c>
      <c r="F9" s="3">
        <v>0.34889908201915998</v>
      </c>
      <c r="G9" s="3">
        <v>0.348614532015801</v>
      </c>
      <c r="H9" s="12">
        <v>0.35523663793614502</v>
      </c>
      <c r="I9" s="12">
        <v>0.351416553236506</v>
      </c>
      <c r="J9" s="4">
        <v>0.35715750739588098</v>
      </c>
      <c r="K9" s="4">
        <v>0.35334282297584202</v>
      </c>
      <c r="L9" s="15" t="s">
        <v>42</v>
      </c>
      <c r="M9" s="16" t="s">
        <v>41</v>
      </c>
      <c r="N9" s="16" t="s">
        <v>40</v>
      </c>
      <c r="O9" s="16" t="s">
        <v>39</v>
      </c>
      <c r="Q9" s="21"/>
      <c r="R9" s="22"/>
      <c r="S9" s="22"/>
      <c r="T9" s="22"/>
      <c r="U9" s="21"/>
    </row>
    <row r="10" spans="1:21" x14ac:dyDescent="0.2">
      <c r="A10" s="1" t="s">
        <v>8</v>
      </c>
      <c r="B10" s="13">
        <v>21.046575342465754</v>
      </c>
      <c r="C10" s="14" t="s">
        <v>33</v>
      </c>
      <c r="D10" s="11">
        <v>0.30899680077295899</v>
      </c>
      <c r="E10" s="11">
        <v>0.30814072337600901</v>
      </c>
      <c r="F10" s="3">
        <v>0.27178458747954098</v>
      </c>
      <c r="G10" s="3">
        <v>0.36007238764627802</v>
      </c>
      <c r="H10" s="12">
        <v>0.29780142271194099</v>
      </c>
      <c r="I10" s="12">
        <v>0.30452657260725402</v>
      </c>
      <c r="J10" s="4">
        <v>0.28013907288922002</v>
      </c>
      <c r="K10" s="4">
        <v>0.31735616715852599</v>
      </c>
      <c r="L10" s="15" t="s">
        <v>42</v>
      </c>
      <c r="M10" s="16" t="s">
        <v>41</v>
      </c>
      <c r="N10" s="16" t="s">
        <v>40</v>
      </c>
      <c r="O10" s="16" t="s">
        <v>39</v>
      </c>
      <c r="Q10" s="21"/>
      <c r="R10" s="22"/>
      <c r="S10" s="22"/>
      <c r="T10" s="22"/>
      <c r="U10" s="21"/>
    </row>
    <row r="11" spans="1:21" x14ac:dyDescent="0.2">
      <c r="A11" s="1" t="s">
        <v>9</v>
      </c>
      <c r="B11" s="13">
        <v>20.654794520547945</v>
      </c>
      <c r="C11" s="14" t="s">
        <v>33</v>
      </c>
      <c r="D11" s="11">
        <v>0.35015072286034699</v>
      </c>
      <c r="E11" s="11">
        <v>0.36237081008875899</v>
      </c>
      <c r="F11" s="3">
        <v>0.33262050188168202</v>
      </c>
      <c r="G11" s="3">
        <v>0.36695051796490102</v>
      </c>
      <c r="H11" s="12">
        <v>0.35534349172969298</v>
      </c>
      <c r="I11" s="12">
        <v>0.34690537747985001</v>
      </c>
      <c r="J11" s="4">
        <v>0.35259972092647501</v>
      </c>
      <c r="K11" s="4">
        <v>0.35828901038608901</v>
      </c>
      <c r="L11" s="15" t="s">
        <v>40</v>
      </c>
      <c r="M11" s="16" t="s">
        <v>39</v>
      </c>
      <c r="N11" s="16" t="s">
        <v>42</v>
      </c>
      <c r="O11" s="16" t="s">
        <v>41</v>
      </c>
      <c r="Q11" s="21"/>
      <c r="R11" s="22"/>
      <c r="S11" s="22"/>
      <c r="T11" s="22"/>
      <c r="U11" s="21"/>
    </row>
    <row r="12" spans="1:21" x14ac:dyDescent="0.2">
      <c r="A12" s="1" t="s">
        <v>10</v>
      </c>
      <c r="B12" s="13">
        <v>20.687671232876713</v>
      </c>
      <c r="C12" s="14" t="s">
        <v>32</v>
      </c>
      <c r="D12" s="11">
        <v>0.31303432665750103</v>
      </c>
      <c r="E12" s="11">
        <v>0.317777872170598</v>
      </c>
      <c r="F12" s="3">
        <v>0.30932138419807698</v>
      </c>
      <c r="G12" s="3">
        <v>0.31697229593264697</v>
      </c>
      <c r="H12" s="12">
        <v>0.31279770996143302</v>
      </c>
      <c r="I12" s="12">
        <v>0.31489018915962702</v>
      </c>
      <c r="J12" s="4">
        <v>0.30042735725745301</v>
      </c>
      <c r="K12" s="4">
        <v>0.32571381352000101</v>
      </c>
      <c r="L12" s="15" t="s">
        <v>40</v>
      </c>
      <c r="M12" s="16" t="s">
        <v>39</v>
      </c>
      <c r="N12" s="16" t="s">
        <v>42</v>
      </c>
      <c r="O12" s="16" t="s">
        <v>41</v>
      </c>
      <c r="Q12" s="21"/>
      <c r="R12" s="22"/>
      <c r="S12" s="22"/>
      <c r="T12" s="22"/>
      <c r="U12" s="21"/>
    </row>
    <row r="13" spans="1:21" x14ac:dyDescent="0.2">
      <c r="A13" s="1" t="s">
        <v>11</v>
      </c>
      <c r="B13" s="13">
        <v>20.728767123287671</v>
      </c>
      <c r="C13" s="14" t="s">
        <v>33</v>
      </c>
      <c r="D13" s="11">
        <v>0.32341342488146002</v>
      </c>
      <c r="E13" s="11">
        <v>0.32445208357599498</v>
      </c>
      <c r="F13" s="3">
        <v>0.32190548555925103</v>
      </c>
      <c r="G13" s="3">
        <v>0.32485067954794</v>
      </c>
      <c r="H13" s="12">
        <v>0.32753357459301302</v>
      </c>
      <c r="I13" s="12">
        <v>0.32641475229009698</v>
      </c>
      <c r="J13" s="4">
        <v>0.32203384449532102</v>
      </c>
      <c r="K13" s="4">
        <v>0.333412596421581</v>
      </c>
      <c r="L13" s="15" t="s">
        <v>41</v>
      </c>
      <c r="M13" s="16" t="s">
        <v>42</v>
      </c>
      <c r="N13" s="16" t="s">
        <v>39</v>
      </c>
      <c r="O13" s="16" t="s">
        <v>40</v>
      </c>
      <c r="Q13" s="21"/>
      <c r="R13" s="22"/>
      <c r="S13" s="22"/>
      <c r="T13" s="22"/>
      <c r="U13" s="21"/>
    </row>
    <row r="14" spans="1:21" x14ac:dyDescent="0.2">
      <c r="A14" s="1" t="s">
        <v>12</v>
      </c>
      <c r="B14" s="13">
        <v>25.816438356164383</v>
      </c>
      <c r="C14" s="14" t="s">
        <v>32</v>
      </c>
      <c r="D14" s="11">
        <v>0.353884245842982</v>
      </c>
      <c r="E14" s="11">
        <v>0.34569042055659399</v>
      </c>
      <c r="F14" s="3">
        <v>0.350589861216138</v>
      </c>
      <c r="G14" s="3">
        <v>0.35770573201012001</v>
      </c>
      <c r="H14" s="12">
        <v>0.34409551428415702</v>
      </c>
      <c r="I14" s="12">
        <v>0.35181469849466401</v>
      </c>
      <c r="J14" s="4">
        <v>0.3364445210191</v>
      </c>
      <c r="K14" s="4">
        <v>0.35126073019905202</v>
      </c>
      <c r="L14" s="15" t="s">
        <v>41</v>
      </c>
      <c r="M14" s="16" t="s">
        <v>42</v>
      </c>
      <c r="N14" s="16" t="s">
        <v>39</v>
      </c>
      <c r="O14" s="16" t="s">
        <v>40</v>
      </c>
      <c r="Q14" s="21"/>
      <c r="R14" s="22"/>
      <c r="S14" s="22"/>
      <c r="T14" s="22"/>
      <c r="U14" s="21"/>
    </row>
    <row r="15" spans="1:21" x14ac:dyDescent="0.2">
      <c r="A15" s="1" t="s">
        <v>13</v>
      </c>
      <c r="B15" s="13">
        <v>21.975342465753425</v>
      </c>
      <c r="C15" s="14" t="s">
        <v>33</v>
      </c>
      <c r="D15" s="11">
        <v>0.359654783247087</v>
      </c>
      <c r="E15" s="11">
        <v>0.34732586015115302</v>
      </c>
      <c r="F15" s="3">
        <v>0.35380639910244699</v>
      </c>
      <c r="G15" s="3">
        <v>0.365585538999398</v>
      </c>
      <c r="H15" s="12">
        <v>0.35205528355113302</v>
      </c>
      <c r="I15" s="12">
        <v>0.36607379555707398</v>
      </c>
      <c r="J15" s="4">
        <v>0.346120060623617</v>
      </c>
      <c r="K15" s="4">
        <v>0.35825235454898102</v>
      </c>
      <c r="L15" s="15" t="s">
        <v>39</v>
      </c>
      <c r="M15" s="16" t="s">
        <v>40</v>
      </c>
      <c r="N15" s="16" t="s">
        <v>41</v>
      </c>
      <c r="O15" s="16" t="s">
        <v>42</v>
      </c>
      <c r="Q15" s="21"/>
      <c r="R15" s="22"/>
      <c r="S15" s="22"/>
      <c r="T15" s="22"/>
      <c r="U15" s="21"/>
    </row>
    <row r="16" spans="1:21" x14ac:dyDescent="0.2">
      <c r="A16" s="1" t="s">
        <v>14</v>
      </c>
      <c r="B16" s="13">
        <v>20.389041095890413</v>
      </c>
      <c r="C16" s="14" t="s">
        <v>33</v>
      </c>
      <c r="D16" s="11">
        <v>0.37353762273367702</v>
      </c>
      <c r="E16" s="11">
        <v>0.37448994337971397</v>
      </c>
      <c r="F16" s="3">
        <v>0.36709487804750601</v>
      </c>
      <c r="G16" s="3">
        <v>0.38016444583945302</v>
      </c>
      <c r="H16" s="12">
        <v>0.37088837734831598</v>
      </c>
      <c r="I16" s="12">
        <v>0.37477780132900201</v>
      </c>
      <c r="J16" s="4">
        <v>0.36860051979578501</v>
      </c>
      <c r="K16" s="4">
        <v>0.37327290493827803</v>
      </c>
      <c r="L16" s="15" t="s">
        <v>40</v>
      </c>
      <c r="M16" s="16" t="s">
        <v>39</v>
      </c>
      <c r="N16" s="16" t="s">
        <v>42</v>
      </c>
      <c r="O16" s="16" t="s">
        <v>41</v>
      </c>
      <c r="Q16" s="21"/>
      <c r="R16" s="22"/>
      <c r="S16" s="22"/>
      <c r="T16" s="22"/>
      <c r="U16" s="21"/>
    </row>
    <row r="17" spans="1:32" x14ac:dyDescent="0.2">
      <c r="A17" s="1" t="s">
        <v>15</v>
      </c>
      <c r="B17" s="13">
        <v>20.986301369863014</v>
      </c>
      <c r="C17" s="14" t="s">
        <v>33</v>
      </c>
      <c r="D17" s="11">
        <v>0.31555641936796602</v>
      </c>
      <c r="E17" s="11">
        <v>0.29884208277547297</v>
      </c>
      <c r="F17" s="3">
        <v>0.30848200909430001</v>
      </c>
      <c r="G17" s="3">
        <v>0.32389411719050099</v>
      </c>
      <c r="H17" s="12">
        <v>0.302627899059981</v>
      </c>
      <c r="I17" s="12">
        <v>0.31332410721534498</v>
      </c>
      <c r="J17" s="4">
        <v>0.29554254400552599</v>
      </c>
      <c r="K17" s="4">
        <v>0.31096361088875202</v>
      </c>
      <c r="L17" s="15" t="s">
        <v>41</v>
      </c>
      <c r="M17" s="16" t="s">
        <v>42</v>
      </c>
      <c r="N17" s="16" t="s">
        <v>39</v>
      </c>
      <c r="O17" s="16" t="s">
        <v>40</v>
      </c>
      <c r="Q17" s="21"/>
      <c r="R17" s="22"/>
      <c r="S17" s="22"/>
      <c r="T17" s="22"/>
      <c r="U17" s="21"/>
    </row>
    <row r="18" spans="1:32" x14ac:dyDescent="0.2">
      <c r="A18" s="1" t="s">
        <v>16</v>
      </c>
      <c r="B18" s="13">
        <v>20.67945205479452</v>
      </c>
      <c r="C18" s="14" t="s">
        <v>32</v>
      </c>
      <c r="D18" s="11">
        <v>0.349577781424256</v>
      </c>
      <c r="E18" s="11">
        <v>0.33927152590878601</v>
      </c>
      <c r="F18" s="3">
        <v>0.33058214270118402</v>
      </c>
      <c r="G18" s="3">
        <v>0.37163723284459699</v>
      </c>
      <c r="H18" s="12">
        <v>0.33706293407445598</v>
      </c>
      <c r="I18" s="12">
        <v>0.34923998291543701</v>
      </c>
      <c r="J18" s="4">
        <v>0.32021898466057402</v>
      </c>
      <c r="K18" s="4">
        <v>0.35366625563956799</v>
      </c>
      <c r="L18" s="15" t="s">
        <v>40</v>
      </c>
      <c r="M18" s="16" t="s">
        <v>39</v>
      </c>
      <c r="N18" s="16" t="s">
        <v>42</v>
      </c>
      <c r="O18" s="16" t="s">
        <v>41</v>
      </c>
      <c r="Q18" s="21"/>
      <c r="R18" s="22"/>
      <c r="S18" s="22"/>
      <c r="T18" s="22"/>
      <c r="U18" s="21"/>
    </row>
    <row r="19" spans="1:32" x14ac:dyDescent="0.2">
      <c r="A19" s="1" t="s">
        <v>17</v>
      </c>
      <c r="B19" s="13">
        <v>21.227397260273971</v>
      </c>
      <c r="C19" s="14" t="s">
        <v>32</v>
      </c>
      <c r="D19" s="11">
        <v>0.32725797986899702</v>
      </c>
      <c r="E19" s="11">
        <v>0.32382149758367501</v>
      </c>
      <c r="F19" s="3">
        <v>0.30152820207474901</v>
      </c>
      <c r="G19" s="3">
        <v>0.35176253014923198</v>
      </c>
      <c r="H19" s="12">
        <v>0.32594038215613202</v>
      </c>
      <c r="I19" s="12">
        <v>0.32446434294232601</v>
      </c>
      <c r="J19" s="4">
        <v>0.31001122257837799</v>
      </c>
      <c r="K19" s="4">
        <v>0.34027662577611101</v>
      </c>
      <c r="L19" s="15" t="s">
        <v>42</v>
      </c>
      <c r="M19" s="16" t="s">
        <v>41</v>
      </c>
      <c r="N19" s="16" t="s">
        <v>40</v>
      </c>
      <c r="O19" s="16" t="s">
        <v>39</v>
      </c>
      <c r="Q19" s="21"/>
      <c r="R19" s="21"/>
      <c r="S19" s="21"/>
      <c r="T19" s="21"/>
      <c r="U19" s="21"/>
    </row>
    <row r="20" spans="1:32" x14ac:dyDescent="0.2">
      <c r="A20" s="1" t="s">
        <v>18</v>
      </c>
      <c r="B20" s="13">
        <v>18.463013698630139</v>
      </c>
      <c r="C20" s="14" t="s">
        <v>33</v>
      </c>
      <c r="D20" s="11">
        <v>0.36125966478223398</v>
      </c>
      <c r="E20" s="11">
        <v>0.34301754266720802</v>
      </c>
      <c r="F20" s="3">
        <v>0.35426710068307299</v>
      </c>
      <c r="G20" s="3">
        <v>0.36825222888139397</v>
      </c>
      <c r="H20" s="12">
        <v>0.34647856107992803</v>
      </c>
      <c r="I20" s="12">
        <v>0.36750596860215501</v>
      </c>
      <c r="J20" s="4">
        <v>0.33546395693977599</v>
      </c>
      <c r="K20" s="4">
        <v>0.35719547321629203</v>
      </c>
      <c r="L20" s="15" t="s">
        <v>40</v>
      </c>
      <c r="M20" s="16" t="s">
        <v>39</v>
      </c>
      <c r="N20" s="16" t="s">
        <v>42</v>
      </c>
      <c r="O20" s="16" t="s">
        <v>41</v>
      </c>
      <c r="Q20" s="21"/>
      <c r="R20" s="21"/>
      <c r="S20" s="21"/>
      <c r="T20" s="21"/>
      <c r="U20" s="21"/>
    </row>
    <row r="21" spans="1:32" x14ac:dyDescent="0.2">
      <c r="A21" s="1" t="s">
        <v>19</v>
      </c>
      <c r="B21" s="13">
        <v>19.06027397260274</v>
      </c>
      <c r="C21" s="14" t="s">
        <v>33</v>
      </c>
      <c r="D21" s="11">
        <v>0.401684531865595</v>
      </c>
      <c r="E21" s="11">
        <v>0.38902422143377502</v>
      </c>
      <c r="F21" s="3">
        <v>0.37917197833694799</v>
      </c>
      <c r="G21" s="3">
        <v>0.42485921932155502</v>
      </c>
      <c r="H21" s="12">
        <v>0.38502624624624998</v>
      </c>
      <c r="I21" s="12">
        <v>0.41337895829298199</v>
      </c>
      <c r="J21" s="4">
        <v>0.36864887839215299</v>
      </c>
      <c r="K21" s="4">
        <v>0.40235302672957102</v>
      </c>
      <c r="L21" s="15" t="s">
        <v>42</v>
      </c>
      <c r="M21" s="16" t="s">
        <v>41</v>
      </c>
      <c r="N21" s="16" t="s">
        <v>40</v>
      </c>
      <c r="O21" s="16" t="s">
        <v>39</v>
      </c>
      <c r="Q21" s="21"/>
      <c r="R21" s="21"/>
      <c r="S21" s="21"/>
      <c r="T21" s="21"/>
      <c r="U21" s="21"/>
    </row>
    <row r="22" spans="1:32" ht="16" thickBot="1" x14ac:dyDescent="0.25">
      <c r="D22" s="5"/>
      <c r="E22" s="5"/>
      <c r="F22" s="5"/>
      <c r="G22" s="5"/>
      <c r="H22" s="5"/>
      <c r="I22" s="5"/>
      <c r="J22" s="5"/>
      <c r="K22" s="5"/>
      <c r="L22" s="5"/>
      <c r="Q22" s="21"/>
      <c r="R22" s="21"/>
      <c r="S22" s="21"/>
      <c r="T22" s="21"/>
      <c r="U22" s="21"/>
    </row>
    <row r="23" spans="1:32" x14ac:dyDescent="0.2">
      <c r="A23" s="6" t="s">
        <v>26</v>
      </c>
      <c r="B23" s="17">
        <f t="shared" ref="B23" si="0">AVERAGE(B2:B21)</f>
        <v>20.8213698630137</v>
      </c>
      <c r="C23" s="17" t="s">
        <v>31</v>
      </c>
      <c r="D23" s="17">
        <f t="shared" ref="D23:K23" si="1">AVERAGE(D2:D21)</f>
        <v>0.34658941290007939</v>
      </c>
      <c r="E23" s="17">
        <f t="shared" ref="E23:J23" si="2">AVERAGE(E2:E21)</f>
        <v>0.33963323952778773</v>
      </c>
      <c r="F23" s="17">
        <f t="shared" si="2"/>
        <v>0.33751512856400834</v>
      </c>
      <c r="G23" s="17">
        <f t="shared" si="2"/>
        <v>0.35673676853405839</v>
      </c>
      <c r="H23" s="17">
        <f t="shared" si="2"/>
        <v>0.34045047311103943</v>
      </c>
      <c r="I23" s="17">
        <f t="shared" si="2"/>
        <v>0.34609581397569927</v>
      </c>
      <c r="J23" s="17">
        <f t="shared" si="2"/>
        <v>0.33338070903510009</v>
      </c>
      <c r="K23" s="17">
        <f t="shared" si="1"/>
        <v>0.34785990990511795</v>
      </c>
      <c r="L23" s="17" t="s">
        <v>31</v>
      </c>
      <c r="M23" s="17" t="s">
        <v>31</v>
      </c>
      <c r="N23" s="17" t="s">
        <v>31</v>
      </c>
      <c r="O23" s="17" t="s">
        <v>31</v>
      </c>
      <c r="Q23" s="21"/>
      <c r="R23" s="23"/>
      <c r="S23" s="24"/>
      <c r="T23" s="24"/>
      <c r="U23" s="21"/>
    </row>
    <row r="24" spans="1:32" x14ac:dyDescent="0.2">
      <c r="A24" s="7" t="s">
        <v>34</v>
      </c>
      <c r="B24" s="18" t="s">
        <v>31</v>
      </c>
      <c r="C24" s="18" t="s">
        <v>31</v>
      </c>
      <c r="D24" s="18">
        <f>MEDIAN(D2:D21)</f>
        <v>0.3473355771704455</v>
      </c>
      <c r="E24" s="18">
        <f t="shared" ref="E24:J24" si="3">MEDIAN(E2:E21)</f>
        <v>0.34116857998991951</v>
      </c>
      <c r="F24" s="18">
        <f t="shared" si="3"/>
        <v>0.34160682171595852</v>
      </c>
      <c r="G24" s="18">
        <f t="shared" si="3"/>
        <v>0.35688590515409652</v>
      </c>
      <c r="H24" s="18">
        <f t="shared" si="3"/>
        <v>0.34493743119298748</v>
      </c>
      <c r="I24" s="18">
        <f t="shared" si="3"/>
        <v>0.34542371254501547</v>
      </c>
      <c r="J24" s="18">
        <f t="shared" si="3"/>
        <v>0.33595423897943799</v>
      </c>
      <c r="K24" s="18">
        <f t="shared" ref="K24" si="4">MEDIAN(K2:K21)</f>
        <v>0.35165728381832451</v>
      </c>
      <c r="L24" s="18" t="s">
        <v>31</v>
      </c>
      <c r="M24" s="18" t="s">
        <v>31</v>
      </c>
      <c r="N24" s="18" t="s">
        <v>31</v>
      </c>
      <c r="O24" s="18" t="s">
        <v>31</v>
      </c>
      <c r="Q24" s="21"/>
      <c r="R24" s="22"/>
      <c r="S24" s="22"/>
      <c r="T24" s="22"/>
      <c r="U24" s="21"/>
    </row>
    <row r="25" spans="1:32" x14ac:dyDescent="0.2">
      <c r="A25" s="7" t="s">
        <v>28</v>
      </c>
      <c r="B25" s="18">
        <f t="shared" ref="B25" si="5">_xlfn.STDEV.S(B2:B21)</f>
        <v>1.4424192552506867</v>
      </c>
      <c r="C25" s="18" t="s">
        <v>31</v>
      </c>
      <c r="D25" s="18">
        <f>_xlfn.STDEV.S(D2:D21)</f>
        <v>2.6660408534682264E-2</v>
      </c>
      <c r="E25" s="18">
        <f t="shared" ref="E25:J25" si="6">_xlfn.STDEV.S(E2:E21)</f>
        <v>2.5772081135172768E-2</v>
      </c>
      <c r="F25" s="18">
        <f t="shared" si="6"/>
        <v>2.9668575660232593E-2</v>
      </c>
      <c r="G25" s="18">
        <f t="shared" si="6"/>
        <v>2.8807661241895689E-2</v>
      </c>
      <c r="H25" s="18">
        <f t="shared" si="6"/>
        <v>2.4824304061059538E-2</v>
      </c>
      <c r="I25" s="18">
        <f t="shared" si="6"/>
        <v>2.9911620765414874E-2</v>
      </c>
      <c r="J25" s="18">
        <f t="shared" si="6"/>
        <v>2.9843411217422778E-2</v>
      </c>
      <c r="K25" s="18">
        <f t="shared" ref="K25" si="7">_xlfn.STDEV.S(K2:K21)</f>
        <v>2.330489476912127E-2</v>
      </c>
      <c r="L25" s="18" t="s">
        <v>31</v>
      </c>
      <c r="M25" s="18" t="s">
        <v>31</v>
      </c>
      <c r="N25" s="18" t="s">
        <v>31</v>
      </c>
      <c r="O25" s="18" t="s">
        <v>31</v>
      </c>
      <c r="Q25" s="21"/>
      <c r="R25" s="22"/>
      <c r="S25" s="22"/>
      <c r="T25" s="22"/>
      <c r="U25" s="21"/>
    </row>
    <row r="26" spans="1:32" ht="16" thickBot="1" x14ac:dyDescent="0.25">
      <c r="A26" s="8" t="s">
        <v>27</v>
      </c>
      <c r="B26" s="19">
        <f t="shared" ref="B26" si="8">B25/SQRT(COUNT(B2:B21))</f>
        <v>0.32253475067951559</v>
      </c>
      <c r="C26" s="19" t="s">
        <v>31</v>
      </c>
      <c r="D26" s="19">
        <f>D25/SQRT(COUNT(D2:D21))</f>
        <v>5.9614485791465097E-3</v>
      </c>
      <c r="E26" s="19">
        <f t="shared" ref="E26:J26" si="9">E25/SQRT(COUNT(E2:E21))</f>
        <v>5.762812533988625E-3</v>
      </c>
      <c r="F26" s="19">
        <f t="shared" si="9"/>
        <v>6.6340951971875783E-3</v>
      </c>
      <c r="G26" s="19">
        <f t="shared" si="9"/>
        <v>6.4415888809664767E-3</v>
      </c>
      <c r="H26" s="19">
        <f t="shared" si="9"/>
        <v>5.5508831374653216E-3</v>
      </c>
      <c r="I26" s="19">
        <f t="shared" si="9"/>
        <v>6.6884417348661946E-3</v>
      </c>
      <c r="J26" s="19">
        <f t="shared" si="9"/>
        <v>6.6731896162637088E-3</v>
      </c>
      <c r="K26" s="19">
        <f t="shared" ref="K26" si="10">K25/SQRT(COUNT(K2:K21))</f>
        <v>5.2111328912234425E-3</v>
      </c>
      <c r="L26" s="19" t="s">
        <v>31</v>
      </c>
      <c r="M26" s="19" t="s">
        <v>31</v>
      </c>
      <c r="N26" s="19" t="s">
        <v>31</v>
      </c>
      <c r="O26" s="19" t="s">
        <v>31</v>
      </c>
      <c r="Q26" s="21"/>
      <c r="R26" s="22"/>
      <c r="S26" s="22"/>
      <c r="T26" s="22"/>
      <c r="U26" s="21"/>
    </row>
    <row r="27" spans="1:32" x14ac:dyDescent="0.2">
      <c r="Y27" s="21"/>
      <c r="Z27" s="22"/>
      <c r="AA27" s="22"/>
      <c r="AB27" s="22"/>
      <c r="AC27" s="21"/>
    </row>
    <row r="28" spans="1:32" x14ac:dyDescent="0.2">
      <c r="AB28" s="21"/>
      <c r="AC28" s="22"/>
      <c r="AD28" s="22"/>
      <c r="AE28" s="22"/>
      <c r="AF28" s="21"/>
    </row>
    <row r="29" spans="1:32" x14ac:dyDescent="0.2">
      <c r="AB29" s="21"/>
      <c r="AC29" s="22"/>
      <c r="AD29" s="22"/>
      <c r="AE29" s="22"/>
      <c r="AF29" s="21"/>
    </row>
    <row r="30" spans="1:32" x14ac:dyDescent="0.2">
      <c r="AB30" s="21"/>
      <c r="AC30" s="22"/>
      <c r="AD30" s="22"/>
      <c r="AE30" s="22"/>
      <c r="AF30" s="21"/>
    </row>
    <row r="31" spans="1:32" x14ac:dyDescent="0.2">
      <c r="AB31" s="21"/>
      <c r="AC31" s="22"/>
      <c r="AD31" s="22"/>
      <c r="AE31" s="22"/>
      <c r="AF31" s="21"/>
    </row>
    <row r="32" spans="1:32" x14ac:dyDescent="0.2">
      <c r="AB32" s="21"/>
      <c r="AC32" s="22"/>
      <c r="AD32" s="22"/>
      <c r="AE32" s="22"/>
      <c r="AF32" s="21"/>
    </row>
    <row r="33" spans="10:32" x14ac:dyDescent="0.2">
      <c r="AB33" s="21"/>
      <c r="AC33" s="22"/>
      <c r="AD33" s="22"/>
      <c r="AE33" s="22"/>
      <c r="AF33" s="21"/>
    </row>
    <row r="34" spans="10:32" x14ac:dyDescent="0.2">
      <c r="AB34" s="21"/>
      <c r="AC34" s="22"/>
      <c r="AD34" s="22"/>
      <c r="AE34" s="22"/>
      <c r="AF34" s="21"/>
    </row>
    <row r="35" spans="10:32" x14ac:dyDescent="0.2">
      <c r="AB35" s="21"/>
      <c r="AC35" s="21"/>
      <c r="AD35" s="21"/>
      <c r="AE35" s="21"/>
      <c r="AF35" s="21"/>
    </row>
    <row r="36" spans="10:32" x14ac:dyDescent="0.2">
      <c r="AB36" s="21"/>
      <c r="AC36" s="21"/>
      <c r="AD36" s="21"/>
      <c r="AE36" s="21"/>
      <c r="AF36" s="21"/>
    </row>
    <row r="37" spans="10:32" x14ac:dyDescent="0.2">
      <c r="AB37" s="21"/>
      <c r="AC37" s="21"/>
      <c r="AD37" s="21"/>
      <c r="AE37" s="21"/>
      <c r="AF37" s="21"/>
    </row>
    <row r="38" spans="10:32" x14ac:dyDescent="0.2">
      <c r="AB38" s="21"/>
      <c r="AC38" s="21"/>
      <c r="AD38" s="21"/>
      <c r="AE38" s="21"/>
      <c r="AF38" s="21"/>
    </row>
    <row r="39" spans="10:32" x14ac:dyDescent="0.2">
      <c r="AB39" s="21"/>
      <c r="AC39" s="21"/>
      <c r="AD39" s="21"/>
      <c r="AE39" s="21"/>
      <c r="AF39" s="21"/>
    </row>
    <row r="48" spans="10:32" x14ac:dyDescent="0.2"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Randomised_MNS</vt:lpstr>
      <vt:lpstr>Blocked_MNS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Hilmar Sigurdsson</dc:creator>
  <cp:lastModifiedBy>Microsoft Office User</cp:lastModifiedBy>
  <dcterms:created xsi:type="dcterms:W3CDTF">2018-11-16T22:12:58Z</dcterms:created>
  <dcterms:modified xsi:type="dcterms:W3CDTF">2020-04-17T07:56:05Z</dcterms:modified>
</cp:coreProperties>
</file>